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ADME" sheetId="1" state="visible" r:id="rId3"/>
    <sheet name="Reference_Register" sheetId="2" state="visible" r:id="rId4"/>
    <sheet name="Dashboard" sheetId="3" state="visible" r:id="rId5"/>
    <sheet name="Priority_Reading" sheetId="4" state="visible" r:id="rId6"/>
    <sheet name="Method_Map" sheetId="5" state="visible" r:id="rId7"/>
    <sheet name="Search_Log" sheetId="6" state="visible" r:id="rId8"/>
    <sheet name="Lists" sheetId="7" state="visible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<sst xmlns="http://schemas.openxmlformats.org/spreadsheetml/2006/main" count="2137" uniqueCount="1277">
  <si>
    <t xml:space="preserve">Gayini remote-sensing reference workbook</t>
  </si>
  <si>
    <t xml:space="preserve">Created</t>
  </si>
  <si>
    <t xml:space="preserve">2026-06-15 06:47</t>
  </si>
  <si>
    <t xml:space="preserve">Purpose</t>
  </si>
  <si>
    <t xml:space="preserve">Updated reference register for the Gayini remote-sensing methods: Landsat/JRSRP ground cover, Landsat/Sentinel inundation, BFAST/tbreak, floodplain-wetland ecology, and plot-to-landscape scaling.</t>
  </si>
  <si>
    <t xml:space="preserve">Scope</t>
  </si>
  <si>
    <t xml:space="preserve">References are grouped by method theme, priority, and intended use. Rows marked Candidate / verify should be checked before a final report or manuscript.</t>
  </si>
  <si>
    <t xml:space="preserve">Core method position</t>
  </si>
  <si>
    <t xml:space="preserve">Use a Landsat-first, plot-scale workflow; keep pre/post inundation and ground-cover summaries ahead of BFAST/tbreak; treat BFAST/tbreak as conditional after QA/regularity diagnostics.</t>
  </si>
  <si>
    <t xml:space="preserve">Primary sources read</t>
  </si>
  <si>
    <t xml:space="preserve">Gayini_methods_update_Adrian_notes_20260612.docx; Gayini_pre_post_inundation_method_note_20260613.docx; Gayini_data_refined_20260612.pptx; Gayini_master_variable_and_output_register_20260615.xlsx; Gayini_presentation_and_workshop_plan_20260615.xlsx</t>
  </si>
  <si>
    <t xml:space="preserve">Key caution</t>
  </si>
  <si>
    <t xml:space="preserve">The reference list is curated for planning and methods drafting. DOI/metadata details are verified where possible; candidate rows have a verify flag.</t>
  </si>
  <si>
    <t xml:space="preserve">ref_id</t>
  </si>
  <si>
    <t xml:space="preserve">priority</t>
  </si>
  <si>
    <t xml:space="preserve">theme</t>
  </si>
  <si>
    <t xml:space="preserve">subtheme</t>
  </si>
  <si>
    <t xml:space="preserve">authors</t>
  </si>
  <si>
    <t xml:space="preserve">year</t>
  </si>
  <si>
    <t xml:space="preserve">title</t>
  </si>
  <si>
    <t xml:space="preserve">journal_or_source</t>
  </si>
  <si>
    <t xml:space="preserve">doi</t>
  </si>
  <si>
    <t xml:space="preserve">url</t>
  </si>
  <si>
    <t xml:space="preserve">geography</t>
  </si>
  <si>
    <t xml:space="preserve">method_step</t>
  </si>
  <si>
    <t xml:space="preserve">use_note</t>
  </si>
  <si>
    <t xml:space="preserve">evidence_level</t>
  </si>
  <si>
    <t xml:space="preserve">status</t>
  </si>
  <si>
    <t xml:space="preserve">verified</t>
  </si>
  <si>
    <t xml:space="preserve">GAY-001</t>
  </si>
  <si>
    <t xml:space="preserve">Core</t>
  </si>
  <si>
    <t xml:space="preserve">Project methods</t>
  </si>
  <si>
    <t xml:space="preserve">Current workflow / QA</t>
  </si>
  <si>
    <t xml:space="preserve">Gayini project team / Hugh Burley</t>
  </si>
  <si>
    <t xml:space="preserve">2026</t>
  </si>
  <si>
    <t xml:space="preserve">Gayini Remote Sensing Analysis Update: Updated methods position after Adrian notes</t>
  </si>
  <si>
    <t xml:space="preserve">Project document</t>
  </si>
  <si>
    <t xml:space="preserve">Gayini_methods_update_Adrian_notes_20260612.docx</t>
  </si>
  <si>
    <t xml:space="preserve">Gayini / Lowbidgee</t>
  </si>
  <si>
    <t xml:space="preserve">Project framing; pre/post logic; BFAST deferral</t>
  </si>
  <si>
    <t xml:space="preserve">Use as internal decision log: shift from treatment contrast to conservation-period change, JRSRP band definitions, tree-plot caveats.</t>
  </si>
  <si>
    <t xml:space="preserve">Internal project note</t>
  </si>
  <si>
    <t xml:space="preserve">Used in current plan</t>
  </si>
  <si>
    <t xml:space="preserve">Uploaded file parsed</t>
  </si>
  <si>
    <t xml:space="preserve">GAY-002</t>
  </si>
  <si>
    <t xml:space="preserve">Pre/post inundation</t>
  </si>
  <si>
    <t xml:space="preserve">Gayini pre/post inundation method note: pre-/post-conservation inundation-frequency rasters</t>
  </si>
  <si>
    <t xml:space="preserve">Gayini_pre_post_inundation_method_note_20260613.docx</t>
  </si>
  <si>
    <t xml:space="preserve">Annual inundation occurrence; valid-year denominator; plot extraction</t>
  </si>
  <si>
    <t xml:space="preserve">Use to define water-year split, annual wet/not-wet logic, percentage-point difference, QA tables and sensitivity runs.</t>
  </si>
  <si>
    <t xml:space="preserve">GAY-003</t>
  </si>
  <si>
    <t xml:space="preserve">Extraction QA</t>
  </si>
  <si>
    <t xml:space="preserve">Gayini remote sensing extraction review: QA before BFAST/tbreak</t>
  </si>
  <si>
    <t xml:space="preserve">Project presentation</t>
  </si>
  <si>
    <t xml:space="preserve">Gayini_data_refined_20260612.pptx</t>
  </si>
  <si>
    <t xml:space="preserve">Extraction status; QA; coverage; BFAST readiness</t>
  </si>
  <si>
    <t xml:space="preserve">Use to support the statement that extraction has passed row-count/plot-count checks but interpretation depends on legends, gaps and thresholds.</t>
  </si>
  <si>
    <t xml:space="preserve">Internal project presentation</t>
  </si>
  <si>
    <t xml:space="preserve">AUS-WAT-001</t>
  </si>
  <si>
    <t xml:space="preserve">Water/inundation</t>
  </si>
  <si>
    <t xml:space="preserve">Automated water classification</t>
  </si>
  <si>
    <t xml:space="preserve">Fisher, A.; Flood, N.; Danaher, T.</t>
  </si>
  <si>
    <t xml:space="preserve">2016</t>
  </si>
  <si>
    <t xml:space="preserve">Comparing Landsat water index methods for automated water classification in eastern Australia</t>
  </si>
  <si>
    <t xml:space="preserve">Remote Sensing of Environment, 175, 167–182</t>
  </si>
  <si>
    <t xml:space="preserve">10.1016/j.rse.2015.12.055</t>
  </si>
  <si>
    <t xml:space="preserve">https://doi.org/10.1016/j.rse.2015.12.055</t>
  </si>
  <si>
    <t xml:space="preserve">Eastern Australia</t>
  </si>
  <si>
    <t xml:space="preserve">Water classification legend; NSW products; water-index framing</t>
  </si>
  <si>
    <t xml:space="preserve">Core Adrian Fisher paper. Cite for eastern-Australian Landsat water-index classification and Fisher water index context.</t>
  </si>
  <si>
    <t xml:space="preserve">Peer-reviewed journal</t>
  </si>
  <si>
    <t xml:space="preserve">Must cite</t>
  </si>
  <si>
    <t xml:space="preserve">Web verified</t>
  </si>
  <si>
    <t xml:space="preserve">AUS-WAT-002</t>
  </si>
  <si>
    <t xml:space="preserve">Water Observations from Space</t>
  </si>
  <si>
    <t xml:space="preserve">Mueller, N.; Lewis, A.; Roberts, D.; Ring, S.; Melrose, R.; Sixsmith, J.; Lymburner, L.; McIntyre, A.; Tan, P.; Curnow, S.; Ip, A.</t>
  </si>
  <si>
    <t xml:space="preserve">Water observations from space: Mapping surface water from 25 years of Landsat imagery across Australia</t>
  </si>
  <si>
    <t xml:space="preserve">Remote Sensing of Environment, 174, 341–352</t>
  </si>
  <si>
    <t xml:space="preserve">10.1016/j.rse.2015.11.003</t>
  </si>
  <si>
    <t xml:space="preserve">https://doi.org/10.1016/j.rse.2015.11.003</t>
  </si>
  <si>
    <t xml:space="preserve">Australia</t>
  </si>
  <si>
    <t xml:space="preserve">Wet/dry/invalid logic; valid observation denominator</t>
  </si>
  <si>
    <t xml:space="preserve">Foundational Australian surface-water time-series paper. Supports wet detections, clear/valid observation denominators and long-term Landsat water products.</t>
  </si>
  <si>
    <t xml:space="preserve">AUS-WAT-003</t>
  </si>
  <si>
    <t xml:space="preserve">Digital Earth Australia product</t>
  </si>
  <si>
    <t xml:space="preserve">Digital Earth Australia / Geoscience Australia</t>
  </si>
  <si>
    <t xml:space="preserve">DEA Water Observations</t>
  </si>
  <si>
    <t xml:space="preserve">Product documentation</t>
  </si>
  <si>
    <t xml:space="preserve">https://knowledge.dea.ga.gov.au/data/product/dea-water-observations-landsat/</t>
  </si>
  <si>
    <t xml:space="preserve">Water observation product context; wet/dry/invalid interpretation</t>
  </si>
  <si>
    <t xml:space="preserve">Cite product docs alongside Mueller et al. when describing DEA-style WOfS logic.</t>
  </si>
  <si>
    <t xml:space="preserve">Official data documentation</t>
  </si>
  <si>
    <t xml:space="preserve">Should cite</t>
  </si>
  <si>
    <t xml:space="preserve">Web searched</t>
  </si>
  <si>
    <t xml:space="preserve">AUS-WAT-004</t>
  </si>
  <si>
    <t xml:space="preserve">2025</t>
  </si>
  <si>
    <t xml:space="preserve">DEA Water Observations Statistics (Landsat) Version 2.0.0</t>
  </si>
  <si>
    <t xml:space="preserve">Dataset documentation</t>
  </si>
  <si>
    <t xml:space="preserve">https://researchdata.edu.au/dea-water-observations-version-200/3757444</t>
  </si>
  <si>
    <t xml:space="preserve">Clear count; wet count; percentage of clear observations wet</t>
  </si>
  <si>
    <t xml:space="preserve">Use as direct precedent for reporting valid/clear denominators and frequency statistics, not just mapped water.</t>
  </si>
  <si>
    <t xml:space="preserve">AUS-WAT-005</t>
  </si>
  <si>
    <t xml:space="preserve">NSW inland wetland products</t>
  </si>
  <si>
    <t xml:space="preserve">NSW DCCEEW / SEED</t>
  </si>
  <si>
    <t xml:space="preserve">Inundation Maps for NSW Inland Floodplain Wetlands</t>
  </si>
  <si>
    <t xml:space="preserve">https://data.nsw.gov.au/data/dataset/inundation-maps-for-nsw-inland-floodplain-wetlands</t>
  </si>
  <si>
    <t xml:space="preserve">NSW inland floodplain wetlands</t>
  </si>
  <si>
    <t xml:space="preserve">NSW/Rachael Thomas-style inundation products; value legends to confirm</t>
  </si>
  <si>
    <t xml:space="preserve">Very relevant to supplied NSW-style inundation files. Product page links method to Thomas et al. and Fisher et al.</t>
  </si>
  <si>
    <t xml:space="preserve">Must review</t>
  </si>
  <si>
    <t xml:space="preserve">AUS-WAT-006</t>
  </si>
  <si>
    <t xml:space="preserve">Floodplain wetland classification</t>
  </si>
  <si>
    <t xml:space="preserve">Thomas, R. F.; Kingsford, R. T.; Lu, Y.; Cox, S. J.; Sims, N. C.; Hunter, S. J.</t>
  </si>
  <si>
    <t xml:space="preserve">2015</t>
  </si>
  <si>
    <t xml:space="preserve">Mapping inundation in the heterogeneous floodplain wetlands of the Macquarie Marshes, using Landsat Thematic Mapper</t>
  </si>
  <si>
    <t xml:space="preserve">Journal of Hydrology, 524, 194–213</t>
  </si>
  <si>
    <t xml:space="preserve">10.1016/j.jhydrol.2015.02.029</t>
  </si>
  <si>
    <t xml:space="preserve">https://doi.org/10.1016/j.jhydrol.2015.02.029</t>
  </si>
  <si>
    <t xml:space="preserve">Macquarie Marshes, NSW</t>
  </si>
  <si>
    <t xml:space="preserve">Vegetated floodplain wetland inundation mapping; mixed water/vegetation classes</t>
  </si>
  <si>
    <t xml:space="preserve">Essential Richard Kingsford/Rachael Thomas reference for NSW inland wetland inundation. Cite for heterogeneous wetland floodplain mapping.</t>
  </si>
  <si>
    <t xml:space="preserve">AUS-WAT-007</t>
  </si>
  <si>
    <t xml:space="preserve">High</t>
  </si>
  <si>
    <t xml:space="preserve">Macquarie Marshes long-term mapping</t>
  </si>
  <si>
    <t xml:space="preserve">Thomas, R. F.; Kingsford, R. T.; Lu, Y.; Hunter, S. J.</t>
  </si>
  <si>
    <t xml:space="preserve">2011</t>
  </si>
  <si>
    <t xml:space="preserve">Landsat mapping of annual inundation (1979–2006) of the Macquarie Marshes in semi-arid Australia</t>
  </si>
  <si>
    <t xml:space="preserve">International Journal of Remote Sensing, 32, 4545–4569</t>
  </si>
  <si>
    <t xml:space="preserve">10.1080/01431161.2010.489064</t>
  </si>
  <si>
    <t xml:space="preserve">https://doi.org/10.1080/01431161.2010.489064</t>
  </si>
  <si>
    <t xml:space="preserve">Annual inundation mapping; wetland long-term context</t>
  </si>
  <si>
    <t xml:space="preserve">Strong comparator for our annual inundation occurrence rasters and wet/dry-year framing.</t>
  </si>
  <si>
    <t xml:space="preserve">AUS-WAT-008</t>
  </si>
  <si>
    <t xml:space="preserve">Murrumbidgee regulation</t>
  </si>
  <si>
    <t xml:space="preserve">Frazier, P.; Page, K.</t>
  </si>
  <si>
    <t xml:space="preserve">2006</t>
  </si>
  <si>
    <t xml:space="preserve">The effect of river regulation on floodplain wetland inundation, Murrumbidgee River, Australia</t>
  </si>
  <si>
    <t xml:space="preserve">Marine and Freshwater Research, 57(2), 133–141</t>
  </si>
  <si>
    <t xml:space="preserve">10.1071/MF05089</t>
  </si>
  <si>
    <t xml:space="preserve">https://doi.org/10.1071/MF05089</t>
  </si>
  <si>
    <t xml:space="preserve">Murrumbidgee River floodplain</t>
  </si>
  <si>
    <t xml:space="preserve">Project context; hydrological alteration; Murrumbidgee relevance</t>
  </si>
  <si>
    <t xml:space="preserve">Direct Murrumbidgee context for river regulation reducing/modifying floodplain wetland inundation.</t>
  </si>
  <si>
    <t xml:space="preserve">AUS-WAT-009</t>
  </si>
  <si>
    <t xml:space="preserve">Murrumbidgee wetland-flow relation</t>
  </si>
  <si>
    <t xml:space="preserve">Frazier, P.; Page, K.; Louis, J.; Briggs, S.; Robertson, A. I.</t>
  </si>
  <si>
    <t xml:space="preserve">2003</t>
  </si>
  <si>
    <t xml:space="preserve">Relating wetland inundation to river flow using Landsat TM data</t>
  </si>
  <si>
    <t xml:space="preserve">International Journal of Remote Sensing, 24(19), 3755–3770</t>
  </si>
  <si>
    <t xml:space="preserve">10.1080/0143116021000023916</t>
  </si>
  <si>
    <t xml:space="preserve">https://doi.org/10.1080/0143116021000023916</t>
  </si>
  <si>
    <t xml:space="preserve">Relating satellite inundation to flow; Lowbidgee/Murrumbidgee context</t>
  </si>
  <si>
    <t xml:space="preserve">Direct precedent for using Landsat-derived inundation as a hydrological response/driver in Murrumbidgee wetlands.</t>
  </si>
  <si>
    <t xml:space="preserve">AUS-WAT-010</t>
  </si>
  <si>
    <t xml:space="preserve">Floodplain modelling</t>
  </si>
  <si>
    <t xml:space="preserve">Overton, I. C.</t>
  </si>
  <si>
    <t xml:space="preserve">2005</t>
  </si>
  <si>
    <t xml:space="preserve">Modelling floodplain inundation on a regulated river: integrating GIS, remote sensing and hydrological models</t>
  </si>
  <si>
    <t xml:space="preserve">River Research and Applications, 21(9), 991–1001</t>
  </si>
  <si>
    <t xml:space="preserve">10.1002/rra.867</t>
  </si>
  <si>
    <t xml:space="preserve">https://doi.org/10.1002/rra.867</t>
  </si>
  <si>
    <t xml:space="preserve">Regulated Australian river floodplain</t>
  </si>
  <si>
    <t xml:space="preserve">Floodplain inundation modelling; GIS/RS integration</t>
  </si>
  <si>
    <t xml:space="preserve">Useful background for why DEM, connectivity and hydrology matter alongside optical inundation products.</t>
  </si>
  <si>
    <t xml:space="preserve">Good supporting citation</t>
  </si>
  <si>
    <t xml:space="preserve">AUS-WAT-011</t>
  </si>
  <si>
    <t xml:space="preserve">Multi-index water mapping</t>
  </si>
  <si>
    <t xml:space="preserve">Ticehurst, C.; Teng, J.; Sengupta, A.; et al.</t>
  </si>
  <si>
    <t xml:space="preserve">2022</t>
  </si>
  <si>
    <t xml:space="preserve">Development of a Multi-Index Method Based on Landsat Reflectance Data to Map Open Water in a Complex Environment</t>
  </si>
  <si>
    <t xml:space="preserve">Remote Sensing, 14(5), 1158</t>
  </si>
  <si>
    <t xml:space="preserve">10.3390/rs14051158</t>
  </si>
  <si>
    <t xml:space="preserve">https://doi.org/10.3390/rs14051158</t>
  </si>
  <si>
    <t xml:space="preserve">Murray-Darling Basin / complex surface-water environments</t>
  </si>
  <si>
    <t xml:space="preserve">Index-based water mapping; method caveats</t>
  </si>
  <si>
    <t xml:space="preserve">Good recent Australian method comparison and MDB context for open-water mapping in complex environments.</t>
  </si>
  <si>
    <t xml:space="preserve">AUS-WAT-012</t>
  </si>
  <si>
    <t xml:space="preserve">Medium</t>
  </si>
  <si>
    <t xml:space="preserve">Wetlands Insight Tool</t>
  </si>
  <si>
    <t xml:space="preserve">Dunn, B.; Ai, E.; Alger, M. J.; Fanson, B. G.; Fickas, K. C.; Krause, C. E.; Lymburner, L.; Nanson, R.; Papas, P.; Ronan, M.; Thomas, R. F.</t>
  </si>
  <si>
    <t xml:space="preserve">2023</t>
  </si>
  <si>
    <t xml:space="preserve">Wetlands Insight Tool: Characterising the surface water and vegetation cover dynamics of individual wetlands using multidecadal Landsat satellite data</t>
  </si>
  <si>
    <t xml:space="preserve">Wetlands, 43, 37</t>
  </si>
  <si>
    <t xml:space="preserve">10.1007/s13157-023-01682-7</t>
  </si>
  <si>
    <t xml:space="preserve">https://doi.org/10.1007/s13157-023-01682-7</t>
  </si>
  <si>
    <t xml:space="preserve">Australia / individual wetlands</t>
  </si>
  <si>
    <t xml:space="preserve">Combining water and vegetation cover dynamics; conservative WOfS caveats</t>
  </si>
  <si>
    <t xml:space="preserve">Very useful to justify coupled surface-water and vegetation-cover dynamics, plus caveats for mixed/vegetated inundation.</t>
  </si>
  <si>
    <t xml:space="preserve">INT-WAT-001</t>
  </si>
  <si>
    <t xml:space="preserve">Global surface water</t>
  </si>
  <si>
    <t xml:space="preserve">Pekel, J.-F.; Cottam, A.; Gorelick, N.; Belward, A. S.</t>
  </si>
  <si>
    <t xml:space="preserve">High-resolution mapping of global surface water and its long-term changes</t>
  </si>
  <si>
    <t xml:space="preserve">Nature, 540, 418–422</t>
  </si>
  <si>
    <t xml:space="preserve">10.1038/nature20584</t>
  </si>
  <si>
    <t xml:space="preserve">https://doi.org/10.1038/nature20584</t>
  </si>
  <si>
    <t xml:space="preserve">Global</t>
  </si>
  <si>
    <t xml:space="preserve">Occurrence, recurrence, seasonality, transitions</t>
  </si>
  <si>
    <t xml:space="preserve">High-profile international benchmark for long-term surface-water occurrence/change mapping from Landsat.</t>
  </si>
  <si>
    <t xml:space="preserve">INT-WAT-002</t>
  </si>
  <si>
    <t xml:space="preserve">Surface-water time series</t>
  </si>
  <si>
    <t xml:space="preserve">Tulbure, M. G.; Broich, M.; Stehman, S. V.; Kommareddy, A.</t>
  </si>
  <si>
    <t xml:space="preserve">Surface water extent dynamics from three decades of seasonally continuous Landsat time series at subcontinental scale in a semi-arid region</t>
  </si>
  <si>
    <t xml:space="preserve">Remote Sensing of Environment, 178, 142–157</t>
  </si>
  <si>
    <t xml:space="preserve">10.1016/j.rse.2016.02.034</t>
  </si>
  <si>
    <t xml:space="preserve">https://doi.org/10.1016/j.rse.2016.02.034</t>
  </si>
  <si>
    <t xml:space="preserve">Semi-arid subcontinental / Murray-Darling-relevant</t>
  </si>
  <si>
    <t xml:space="preserve">Seasonally continuous Landsat water dynamics; accuracy assessment</t>
  </si>
  <si>
    <t xml:space="preserve">High-quality RSE reference and close method fit for surface-water dynamics in semi-arid regions.</t>
  </si>
  <si>
    <t xml:space="preserve">INT-WAT-003</t>
  </si>
  <si>
    <t xml:space="preserve">Wetland remote sensing review</t>
  </si>
  <si>
    <t xml:space="preserve">Ozesmi, S. L.; Bauer, M. E.</t>
  </si>
  <si>
    <t xml:space="preserve">2002</t>
  </si>
  <si>
    <t xml:space="preserve">Satellite remote sensing of wetlands</t>
  </si>
  <si>
    <t xml:space="preserve">Wetlands Ecology and Management, 10, 381–402</t>
  </si>
  <si>
    <t xml:space="preserve">10.1023/A:1020908432489</t>
  </si>
  <si>
    <t xml:space="preserve">https://doi.org/10.1023/A:1020908432489</t>
  </si>
  <si>
    <t xml:space="preserve">Global / review</t>
  </si>
  <si>
    <t xml:space="preserve">General wetland RS background</t>
  </si>
  <si>
    <t xml:space="preserve">Classic wetland remote-sensing review for background paragraphs.</t>
  </si>
  <si>
    <t xml:space="preserve">Peer-reviewed review</t>
  </si>
  <si>
    <t xml:space="preserve">Supporting citation</t>
  </si>
  <si>
    <t xml:space="preserve">Web verified 2026-07-07 (Springer/ADS): vol 10(5), 381-402</t>
  </si>
  <si>
    <t xml:space="preserve">INT-WAT-004</t>
  </si>
  <si>
    <t xml:space="preserve">Wetland time series</t>
  </si>
  <si>
    <t xml:space="preserve">Davranche, A.; Lefebvre, G.; Poulin, B.</t>
  </si>
  <si>
    <t xml:space="preserve">2010</t>
  </si>
  <si>
    <t xml:space="preserve">Wetland monitoring using classification trees and SPOT-5 seasonal time series</t>
  </si>
  <si>
    <t xml:space="preserve">Remote Sensing of Environment, 114(3), 552–562</t>
  </si>
  <si>
    <t xml:space="preserve">10.1016/j.rse.2009.10.009</t>
  </si>
  <si>
    <t xml:space="preserve">https://doi.org/10.1016/j.rse.2009.10.009</t>
  </si>
  <si>
    <t xml:space="preserve">Mediterranean wetlands / international</t>
  </si>
  <si>
    <t xml:space="preserve">Seasonal wetland RS classification; vegetation/water dynamics</t>
  </si>
  <si>
    <t xml:space="preserve">High-quality RSE wetland-monitoring reference supporting seasonal time-series interpretation.</t>
  </si>
  <si>
    <t xml:space="preserve">Uploaded method note / known DOI</t>
  </si>
  <si>
    <t xml:space="preserve">INT-WAT-005</t>
  </si>
  <si>
    <t xml:space="preserve">Agricultural wetland landscapes</t>
  </si>
  <si>
    <t xml:space="preserve">Beeri, O.; Phillips, R. L.</t>
  </si>
  <si>
    <t xml:space="preserve">2007</t>
  </si>
  <si>
    <t xml:space="preserve">Tracking palustrine water seasonal and annual variability in agricultural wetland landscapes using Landsat from 1997 to 2005</t>
  </si>
  <si>
    <t xml:space="preserve">Global Change Biology, 13, 897–912</t>
  </si>
  <si>
    <t xml:space="preserve">10.1111/j.1365-2486.2006.01306.x</t>
  </si>
  <si>
    <t xml:space="preserve">https://doi.org/10.1111/j.1365-2486.2007.01333.x</t>
  </si>
  <si>
    <t xml:space="preserve">Agricultural wetlands / USA</t>
  </si>
  <si>
    <t xml:space="preserve">Seasonal and annual variability in agricultural wetland landscapes</t>
  </si>
  <si>
    <t xml:space="preserve">Useful international comparator for wetlands embedded in agricultural landscapes.</t>
  </si>
  <si>
    <t xml:space="preserve">Web verified 2026-07-07: GCB 13(4), 897-912</t>
  </si>
  <si>
    <t xml:space="preserve">INT-WAT-006</t>
  </si>
  <si>
    <t xml:space="preserve">Sub-pixel inundation</t>
  </si>
  <si>
    <t xml:space="preserve">DeVries, B.; Huang, C.; Lang, M. W.; Jones, J. W.; Huang, W.; Creed, I. F.; Carroll, M. L.</t>
  </si>
  <si>
    <t xml:space="preserve">2017</t>
  </si>
  <si>
    <t xml:space="preserve">Automated quantification of surface water inundation in wetlands using optical satellite imagery</t>
  </si>
  <si>
    <t xml:space="preserve">Remote Sensing, 9(8), 807</t>
  </si>
  <si>
    <t xml:space="preserve">10.3390/rs9080807</t>
  </si>
  <si>
    <t xml:space="preserve">https://doi.org/10.3390/rs9080807</t>
  </si>
  <si>
    <t xml:space="preserve">North American wetlands</t>
  </si>
  <si>
    <t xml:space="preserve">Sub-pixel water fraction; scalable wetland inundation mapping</t>
  </si>
  <si>
    <t xml:space="preserve">Good international reference on scalable automated wetland inundation with Landsat and sub-pixel water fraction.</t>
  </si>
  <si>
    <t xml:space="preserve">INT-WAT-007</t>
  </si>
  <si>
    <t xml:space="preserve">Land disturbance + inundation</t>
  </si>
  <si>
    <t xml:space="preserve">Vanderhoof, M. K.; Christensen, J.; Beal, Y.-J. G.; DeVries, B.; Lang, M. W.; Hwang, N.; Mazzarella, C.; Jones, J. W.</t>
  </si>
  <si>
    <t xml:space="preserve">2020</t>
  </si>
  <si>
    <t xml:space="preserve">Isolating anthropogenic wetland loss by concurrently tracking inundation and land cover disturbance across the Mid-Atlantic region, U.S.</t>
  </si>
  <si>
    <t xml:space="preserve">Remote Sensing, 12(9), 1464</t>
  </si>
  <si>
    <t xml:space="preserve">10.3390/rs12091464</t>
  </si>
  <si>
    <t xml:space="preserve">https://doi.org/10.3390/rs12091464</t>
  </si>
  <si>
    <t xml:space="preserve">Mid-Atlantic USA</t>
  </si>
  <si>
    <t xml:space="preserve">Concurrent disturbance and inundation tracking</t>
  </si>
  <si>
    <t xml:space="preserve">Useful conceptual comparator for combining land-cover disturbance/management with inundation extent.</t>
  </si>
  <si>
    <t xml:space="preserve">Web verified 2026-07-07 (MDPI/PubMed): full metadata corrected</t>
  </si>
  <si>
    <t xml:space="preserve">INT-WAT-008</t>
  </si>
  <si>
    <t xml:space="preserve">Aquatic multi-sensor consistency</t>
  </si>
  <si>
    <t xml:space="preserve">Hafeez, S.; et al.</t>
  </si>
  <si>
    <t xml:space="preserve">Evaluating Landsat-8 and Sentinel-2 data consistency for high-frequency monitoring of aquatic systems</t>
  </si>
  <si>
    <t xml:space="preserve">Remote Sensing, 14(13), 3155</t>
  </si>
  <si>
    <t xml:space="preserve">10.3390/rs14133155</t>
  </si>
  <si>
    <t xml:space="preserve">https://doi.org/10.3390/rs14133155</t>
  </si>
  <si>
    <t xml:space="preserve">International / aquatic systems</t>
  </si>
  <si>
    <t xml:space="preserve">Sensor harmonisation and Sentinel/Landsat comparability</t>
  </si>
  <si>
    <t xml:space="preserve">Supports keeping sensor-specific outputs and caveats when combining Landsat and Sentinel observations.</t>
  </si>
  <si>
    <t xml:space="preserve">Uploaded method note / web searched</t>
  </si>
  <si>
    <t xml:space="preserve">WIDX-001</t>
  </si>
  <si>
    <t xml:space="preserve">Water indices</t>
  </si>
  <si>
    <t xml:space="preserve">NDWI</t>
  </si>
  <si>
    <t xml:space="preserve">McFeeters, S. K.</t>
  </si>
  <si>
    <t xml:space="preserve">1996</t>
  </si>
  <si>
    <t xml:space="preserve">The use of the Normalized Difference Water Index (NDWI) in the delineation of open water features</t>
  </si>
  <si>
    <t xml:space="preserve">International Journal of Remote Sensing, 17, 1425–1432</t>
  </si>
  <si>
    <t xml:space="preserve">10.1080/01431169608948714</t>
  </si>
  <si>
    <t xml:space="preserve">https://doi.org/10.1080/01431169608948714</t>
  </si>
  <si>
    <t xml:space="preserve">General</t>
  </si>
  <si>
    <t xml:space="preserve">Water-index background</t>
  </si>
  <si>
    <t xml:space="preserve">Classic water-index paper. Cite only if explaining spectral water indices, not for the main Gayini results.</t>
  </si>
  <si>
    <t xml:space="preserve">Background citation</t>
  </si>
  <si>
    <t xml:space="preserve">Known reference</t>
  </si>
  <si>
    <t xml:space="preserve">WIDX-002</t>
  </si>
  <si>
    <t xml:space="preserve">NDWI vegetation liquid water</t>
  </si>
  <si>
    <t xml:space="preserve">Gao, B.-C.</t>
  </si>
  <si>
    <t xml:space="preserve">NDWI — A normalized difference water index for remote sensing of vegetation liquid water from space</t>
  </si>
  <si>
    <t xml:space="preserve">Remote Sensing of Environment, 58, 257–266</t>
  </si>
  <si>
    <t xml:space="preserve">10.1016/S0034-4257(96)00067-3</t>
  </si>
  <si>
    <t xml:space="preserve">https://doi.org/10.1016/S0034-4257(96)00067-3</t>
  </si>
  <si>
    <t xml:space="preserve">Index naming caveat; vegetation water vs open water</t>
  </si>
  <si>
    <t xml:space="preserve">Use sparingly to clarify NDWI variants if needed.</t>
  </si>
  <si>
    <t xml:space="preserve">WIDX-003</t>
  </si>
  <si>
    <t xml:space="preserve">MNDWI</t>
  </si>
  <si>
    <t xml:space="preserve">Xu, H.</t>
  </si>
  <si>
    <t xml:space="preserve">Modification of Normalised Difference Water Index (NDWI) to enhance open water features in remotely sensed imagery</t>
  </si>
  <si>
    <t xml:space="preserve">International Journal of Remote Sensing, 27, 3025–3033</t>
  </si>
  <si>
    <t xml:space="preserve">10.1080/01431160600589179</t>
  </si>
  <si>
    <t xml:space="preserve">https://doi.org/10.1080/01431160600589179</t>
  </si>
  <si>
    <t xml:space="preserve">Open-water index background</t>
  </si>
  <si>
    <t xml:space="preserve">Good if explaining why automated water classification is difficult in complex landscapes.</t>
  </si>
  <si>
    <t xml:space="preserve">WIDX-004</t>
  </si>
  <si>
    <t xml:space="preserve">AWEI</t>
  </si>
  <si>
    <t xml:space="preserve">Feyisa, G. L.; Meilby, H.; Fensholt, R.; Proud, S. R.</t>
  </si>
  <si>
    <t xml:space="preserve">2014</t>
  </si>
  <si>
    <t xml:space="preserve">Automated Water Extraction Index: A new technique for surface water mapping using Landsat imagery</t>
  </si>
  <si>
    <t xml:space="preserve">Remote Sensing of Environment, 140, 23–35</t>
  </si>
  <si>
    <t xml:space="preserve">10.1016/j.rse.2013.08.029</t>
  </si>
  <si>
    <t xml:space="preserve">https://doi.org/10.1016/j.rse.2013.08.029</t>
  </si>
  <si>
    <t xml:space="preserve">Water-index background; false-positive caveats</t>
  </si>
  <si>
    <t xml:space="preserve">Useful if writing a broader water-index method paragraph.</t>
  </si>
  <si>
    <t xml:space="preserve">HARM-001</t>
  </si>
  <si>
    <t xml:space="preserve">Sensor harmonisation</t>
  </si>
  <si>
    <t xml:space="preserve">Landsat surface reflectance</t>
  </si>
  <si>
    <t xml:space="preserve">Masek, J. G.; Vermote, E. F.; Saleous, N. E.; Wolfe, R.; Hall, F. G.; Huemmrich, K. F.; Gao, F.; Kutler, J.; Lim, T.-K.</t>
  </si>
  <si>
    <t xml:space="preserve">A Landsat surface reflectance dataset for North America, 1990–2000</t>
  </si>
  <si>
    <t xml:space="preserve">IEEE Geoscience and Remote Sensing Letters, 3(1), 68–72</t>
  </si>
  <si>
    <t xml:space="preserve">10.1109/LGRS.2005.857030</t>
  </si>
  <si>
    <t xml:space="preserve">https://doi.org/10.1109/LGRS.2005.857030</t>
  </si>
  <si>
    <t xml:space="preserve">North America / general preprocessing</t>
  </si>
  <si>
    <t xml:space="preserve">Surface reflectance and preprocessing context</t>
  </si>
  <si>
    <t xml:space="preserve">Background only; not central unless describing reflectance preprocessing.</t>
  </si>
  <si>
    <t xml:space="preserve">Optional</t>
  </si>
  <si>
    <t xml:space="preserve">Uploaded method note</t>
  </si>
  <si>
    <t xml:space="preserve">HARM-002</t>
  </si>
  <si>
    <t xml:space="preserve">Harmonized Landsat Sentinel-2</t>
  </si>
  <si>
    <t xml:space="preserve">NASA / USGS LP DAAC</t>
  </si>
  <si>
    <t xml:space="preserve">Harmonized Landsat Sentinel-2 (HLS) Product User Guide V2.0</t>
  </si>
  <si>
    <t xml:space="preserve">Product user guide</t>
  </si>
  <si>
    <t xml:space="preserve">https://lpdaac.usgs.gov/documents/1698/HLS_User_Guide_V2.pdf</t>
  </si>
  <si>
    <t xml:space="preserve">Common-grid principle; sensor harmonisation caveat</t>
  </si>
  <si>
    <t xml:space="preserve">Useful for explaining that simple resampling to common grid is not the same as full HLS harmonisation.</t>
  </si>
  <si>
    <t xml:space="preserve">Should cite for harmonisation caveats</t>
  </si>
  <si>
    <t xml:space="preserve">HARM-003</t>
  </si>
  <si>
    <t xml:space="preserve">HLS overview</t>
  </si>
  <si>
    <t xml:space="preserve">NASA Earthdata</t>
  </si>
  <si>
    <t xml:space="preserve">Harmonized Landsat and Sentinel-2 (HLS)</t>
  </si>
  <si>
    <t xml:space="preserve">Project documentation</t>
  </si>
  <si>
    <t xml:space="preserve">https://www.earthdata.nasa.gov/data/projects/hls</t>
  </si>
  <si>
    <t xml:space="preserve">Landsat/Sentinel-2 harmonisation background</t>
  </si>
  <si>
    <t xml:space="preserve">Short web citation if detailed HLS guide is too much for a presentation report.</t>
  </si>
  <si>
    <t xml:space="preserve">Official documentation</t>
  </si>
  <si>
    <t xml:space="preserve">AUS-GC-001</t>
  </si>
  <si>
    <t xml:space="preserve">Ground cover</t>
  </si>
  <si>
    <t xml:space="preserve">JRSRP ground cover dataset</t>
  </si>
  <si>
    <t xml:space="preserve">Joint Remote Sensing Research Program</t>
  </si>
  <si>
    <t xml:space="preserve">2021</t>
  </si>
  <si>
    <t xml:space="preserve">Seasonal Ground Cover - Landsat, JRSRP Algorithm Version 3.0, Australia Coverage</t>
  </si>
  <si>
    <t xml:space="preserve">Dataset metadata</t>
  </si>
  <si>
    <t xml:space="preserve">https://portal.tern.org.au/metadata/fe9d86e1-54e8-4866-a61c-0422aee8c699</t>
  </si>
  <si>
    <t xml:space="preserve">Band definitions; 30 m seasonal ground cover; NoData</t>
  </si>
  <si>
    <t xml:space="preserve">Authoritative for supplied seasonal ground-cover rasters: band 1 bare ground, band 2 green, band 3 non-green, values percent, 255 NoData.</t>
  </si>
  <si>
    <t xml:space="preserve">Official dataset metadata</t>
  </si>
  <si>
    <t xml:space="preserve">AUS-GC-002</t>
  </si>
  <si>
    <t xml:space="preserve">JRSRP fractional cover dataset</t>
  </si>
  <si>
    <t xml:space="preserve">Seasonal Fractional Cover - Landsat, JRSRP Algorithm Version 3.0, Australia Coverage</t>
  </si>
  <si>
    <t xml:space="preserve">https://portal.tern.org.au/metadata/f0c32576-9ad7-4c9c-9aa9-22787867e28b</t>
  </si>
  <si>
    <t xml:space="preserve">PV/NPV/bare cover; seasonal fractional cover</t>
  </si>
  <si>
    <t xml:space="preserve">Use alongside ground-cover metadata for JRSRP algorithm/product provenance.</t>
  </si>
  <si>
    <t xml:space="preserve">AUS-GC-003</t>
  </si>
  <si>
    <t xml:space="preserve">DEA fractional cover</t>
  </si>
  <si>
    <t xml:space="preserve">DEA Fractional Cover (Landsat)</t>
  </si>
  <si>
    <t xml:space="preserve">https://knowledge.dea.ga.gov.au/data/product/dea-fractional-cover-landsat/</t>
  </si>
  <si>
    <t xml:space="preserve">Fractional cover product background; PV/NPV/BS framing</t>
  </si>
  <si>
    <t xml:space="preserve">Use as national product context; cite if comparing DEA FC and JRSRP or explaining PV/NPV/bare concepts.</t>
  </si>
  <si>
    <t xml:space="preserve">AUS-GC-004</t>
  </si>
  <si>
    <t xml:space="preserve">Fractional-cover accuracy</t>
  </si>
  <si>
    <t xml:space="preserve">Sutton, A.; et al.</t>
  </si>
  <si>
    <t xml:space="preserve">Assessing the accuracy of Landsat vegetation fractional cover for dryland ecosystem monitoring</t>
  </si>
  <si>
    <t xml:space="preserve">Remote Sensing, 14(24), 6322</t>
  </si>
  <si>
    <t xml:space="preserve">10.3390/rs14246322</t>
  </si>
  <si>
    <t xml:space="preserve">https://doi.org/10.3390/rs14246322</t>
  </si>
  <si>
    <t xml:space="preserve">Accuracy/caveats for Landsat VFC; dryland monitoring</t>
  </si>
  <si>
    <t xml:space="preserve">Important recent accuracy paper. Web snippet states JRSRP and DEA VFC were similar and can be employed interchangeably, with RMSE context.</t>
  </si>
  <si>
    <t xml:space="preserve">AUS-GC-005</t>
  </si>
  <si>
    <t xml:space="preserve">Field protocol</t>
  </si>
  <si>
    <t xml:space="preserve">Muir, J.; Schmidt, M.; Tindall, D.; Trevithick, R.; Scarth, P.; Stewart, J. B.</t>
  </si>
  <si>
    <t xml:space="preserve">Field measurement of fractional ground cover: A technical handbook supporting ground cover monitoring for Australia</t>
  </si>
  <si>
    <t xml:space="preserve">Technical handbook</t>
  </si>
  <si>
    <t xml:space="preserve">https://www.researchgate.net/publication/236022381_Field_measurement_of_fractional_ground_cover</t>
  </si>
  <si>
    <t xml:space="preserve">Field data protocol; calibration/validation of cover</t>
  </si>
  <si>
    <t xml:space="preserve">Supports field-measurement basis for fractional ground cover and links Peter Scarth/JRSRP methods to ground data.</t>
  </si>
  <si>
    <t xml:space="preserve">AUS-GC-006</t>
  </si>
  <si>
    <t xml:space="preserve">Fractional cover methodology</t>
  </si>
  <si>
    <t xml:space="preserve">Schmidt, M.; Denham, R.; Scarth, P.</t>
  </si>
  <si>
    <t xml:space="preserve">Fractional ground cover monitoring of pastures and agricultural areas in Queensland</t>
  </si>
  <si>
    <t xml:space="preserve">Conference paper</t>
  </si>
  <si>
    <t xml:space="preserve">Queensland / Australia</t>
  </si>
  <si>
    <t xml:space="preserve">JRSRP/Queensland fractional-cover algorithm history</t>
  </si>
  <si>
    <t xml:space="preserve">Cited in DEA FC documentation; useful for background but less strong than dataset metadata and accuracy papers.</t>
  </si>
  <si>
    <t xml:space="preserve">Web verified via DEA docs</t>
  </si>
  <si>
    <t xml:space="preserve">AUS-GC-007</t>
  </si>
  <si>
    <t xml:space="preserve">Grazing/climate and fractional cover</t>
  </si>
  <si>
    <t xml:space="preserve">Scarth, P.; Roder, A.; Schmidt, M.</t>
  </si>
  <si>
    <t xml:space="preserve">Tracking grazing pressure and climate interaction: the role of Landsat fractional cover in time series analysis</t>
  </si>
  <si>
    <t xml:space="preserve">Australia rangelands</t>
  </si>
  <si>
    <t xml:space="preserve">Grazing pressure vs climate interaction; time-series FC</t>
  </si>
  <si>
    <t xml:space="preserve">Directly relevant to Gayini because it warns us to separate management/grazing signals from climate/hydrological variability.</t>
  </si>
  <si>
    <t xml:space="preserve">AUS-GC-008</t>
  </si>
  <si>
    <t xml:space="preserve">Woody cover confounding</t>
  </si>
  <si>
    <t xml:space="preserve">Gill, T.; Johansen, K.; Phinn, S.; Trevithick, R.; Scarth, P.; Armston, J.</t>
  </si>
  <si>
    <t xml:space="preserve">A method for mapping Australian woody vegetation cover by linking continental-scale field data and long-term Landsat time series</t>
  </si>
  <si>
    <t xml:space="preserve">International Journal of Remote Sensing, 38(3), 679–705</t>
  </si>
  <si>
    <t xml:space="preserve">10.1080/01431161.2016.1266112</t>
  </si>
  <si>
    <t xml:space="preserve">https://doi.org/10.1080/01431161.2016.1266112</t>
  </si>
  <si>
    <t xml:space="preserve">Woody cover; treed/red gum plot caveats</t>
  </si>
  <si>
    <t xml:space="preserve">Key Tony Gill / JRSRP-adjacent reference. Cite for woody vegetation mapping and tree-cover caveats.</t>
  </si>
  <si>
    <t xml:space="preserve">AUS-GC-009</t>
  </si>
  <si>
    <t xml:space="preserve">Woody vegetation dataset</t>
  </si>
  <si>
    <t xml:space="preserve">Gill, T.</t>
  </si>
  <si>
    <t xml:space="preserve">Woody vegetation cover - Landsat, JRSRP, Australian coverage, 2000–2010</t>
  </si>
  <si>
    <t xml:space="preserve">https://portal.tern.org.au/metadata/e4de7f56-f1a5-418e-9118-3220f6f365f8</t>
  </si>
  <si>
    <t xml:space="preserve">Static covariate / woody cover</t>
  </si>
  <si>
    <t xml:space="preserve">Potential dataset citation if woody-cover/treed-plot flags are derived from JRSRP woody cover.</t>
  </si>
  <si>
    <t xml:space="preserve">Optional/covariate</t>
  </si>
  <si>
    <t xml:space="preserve">AUS-GC-010</t>
  </si>
  <si>
    <t xml:space="preserve">Structural vegetation</t>
  </si>
  <si>
    <t xml:space="preserve">Scarth, P.; Armston, J.; Lucas, R.; Bunting, P.</t>
  </si>
  <si>
    <t xml:space="preserve">2019</t>
  </si>
  <si>
    <t xml:space="preserve">A structural classification of Australian vegetation using ICESat/GLAS, ALOS PALSAR, and Landsat sensor data</t>
  </si>
  <si>
    <t xml:space="preserve">Remote Sensing, 11(2), 147</t>
  </si>
  <si>
    <t xml:space="preserve">10.3390/rs11020147</t>
  </si>
  <si>
    <t xml:space="preserve">https://doi.org/10.3390/rs11020147</t>
  </si>
  <si>
    <t xml:space="preserve">Vegetation structure; potential static covariates</t>
  </si>
  <si>
    <t xml:space="preserve">Not core to plot time series, but useful if we cite broad Australian vegetation structural remote sensing from Scarth/JRSRP.</t>
  </si>
  <si>
    <t xml:space="preserve">AUS-GC-011</t>
  </si>
  <si>
    <t xml:space="preserve">UAV fractional cover</t>
  </si>
  <si>
    <t xml:space="preserve">Melville, B.; Fisher, A.; Lucieer, A.</t>
  </si>
  <si>
    <t xml:space="preserve">Ultra-high spatial resolution fractional vegetation cover from unmanned aerial multispectral imagery</t>
  </si>
  <si>
    <t xml:space="preserve">IJAEO, 78, 14–24</t>
  </si>
  <si>
    <t xml:space="preserve">10.1016/j.jag.2019.01.013</t>
  </si>
  <si>
    <t xml:space="preserve">https://doi.org/10.1016/j.jag.2019.01.013</t>
  </si>
  <si>
    <t xml:space="preserve">Australia / UAV methods</t>
  </si>
  <si>
    <t xml:space="preserve">Drone/ground survey integration; scaling from plot/UAV to Landsat</t>
  </si>
  <si>
    <t xml:space="preserve">Useful Adrian Fisher-adjacent reference if drone plot data are used for validation or context.</t>
  </si>
  <si>
    <t xml:space="preserve">AUS-GC-012</t>
  </si>
  <si>
    <t xml:space="preserve">Cover under trees</t>
  </si>
  <si>
    <t xml:space="preserve">Trevithick, R.; et al.</t>
  </si>
  <si>
    <t xml:space="preserve">Cover under trees (RP64G) synthesis report</t>
  </si>
  <si>
    <t xml:space="preserve">Technical report</t>
  </si>
  <si>
    <t xml:space="preserve">https://www.publications.qld.gov.au/dataset/ad30c88c-185d-4d9a-9971-69968f958a70/resource/350aeffd-ff8f-4876-a12f-7eb8d4e6f991/download/coverundertreesreportrp64gfinal.pdf</t>
  </si>
  <si>
    <t xml:space="preserve">Tree/woody cover caveats for ground-cover products</t>
  </si>
  <si>
    <t xml:space="preserve">Important if we need to justify excluding or flagging river red gum/treed plots.</t>
  </si>
  <si>
    <t xml:space="preserve">AUS-GC-013</t>
  </si>
  <si>
    <t xml:space="preserve">Rangeland FC time series</t>
  </si>
  <si>
    <t xml:space="preserve">Barnetson, J.; Phinn, S.; Scarth, P.; Denham, R.</t>
  </si>
  <si>
    <t xml:space="preserve">Assessing Landsat fractional ground-cover time series across Australia's arid rangelands: separating grazing impacts from climate variability</t>
  </si>
  <si>
    <t xml:space="preserve">Int. Archives of Photogrammetry, Remote Sensing and Spatial Information Sciences, XLII-3/W2, 15-26 (ISPRS/ISRSE 2017)</t>
  </si>
  <si>
    <t xml:space="preserve">10.5194/isprs-archives-XLII-3-W2-15-2017</t>
  </si>
  <si>
    <t xml:space="preserve">https://espace.library.uq.edu.au/view/UQ%3A709499</t>
  </si>
  <si>
    <t xml:space="preserve">Australia arid rangelands</t>
  </si>
  <si>
    <t xml:space="preserve">Separating grazing/management from climate variability</t>
  </si>
  <si>
    <t xml:space="preserve">Very relevant conceptually; details should be verified before final report citation.</t>
  </si>
  <si>
    <t xml:space="preserve">Research output</t>
  </si>
  <si>
    <t xml:space="preserve">Web verified 2026-07-07 (ISPRS): conference paper, DOI added</t>
  </si>
  <si>
    <t xml:space="preserve">AUS-GC-014</t>
  </si>
  <si>
    <t xml:space="preserve">Rangeland RS classic</t>
  </si>
  <si>
    <t xml:space="preserve">Pickup, G.; Chewings, V. H.; Nelson, D. J.</t>
  </si>
  <si>
    <t xml:space="preserve">1993</t>
  </si>
  <si>
    <t xml:space="preserve">Estimating changes in vegetation cover over time in rangelands using Landsat MSS data</t>
  </si>
  <si>
    <t xml:space="preserve">Remote Sensing of Environment, 43(3), 243–263</t>
  </si>
  <si>
    <t xml:space="preserve">10.1016/0034-4257(93)90072-5</t>
  </si>
  <si>
    <t xml:space="preserve">https://doi.org/10.1016/0034-4257(93)90072-5</t>
  </si>
  <si>
    <t xml:space="preserve">Australian rangelands</t>
  </si>
  <si>
    <t xml:space="preserve">Historical Landsat cover-change context</t>
  </si>
  <si>
    <t xml:space="preserve">Classic Australian RSE rangeland vegetation-cover time-series reference.</t>
  </si>
  <si>
    <t xml:space="preserve">AUS-GC-015</t>
  </si>
  <si>
    <t xml:space="preserve">Remote sensing scale caveats</t>
  </si>
  <si>
    <t xml:space="preserve">Ludwig, J. A.; Bastin, G. N.; Wallace, J. F.; McVicar, T. R.</t>
  </si>
  <si>
    <t xml:space="preserve">Assessing landscape health by scaling with remote sensing: when is it not enough?</t>
  </si>
  <si>
    <t xml:space="preserve">Landscape Ecology, 22, 163–169</t>
  </si>
  <si>
    <t xml:space="preserve">10.1007/s10980-006-9023-8</t>
  </si>
  <si>
    <t xml:space="preserve">https://doi.org/10.1007/s10980-006-9023-8</t>
  </si>
  <si>
    <t xml:space="preserve">Australia / general</t>
  </si>
  <si>
    <t xml:space="preserve">Scale caveats; field validation; landscape health</t>
  </si>
  <si>
    <t xml:space="preserve">Good cautionary citation for scale mismatch and why 1 ha plots, pixels and paddocks may tell different stories.</t>
  </si>
  <si>
    <t xml:space="preserve">AUS-GC-016</t>
  </si>
  <si>
    <t xml:space="preserve">Ground cover methodology</t>
  </si>
  <si>
    <t xml:space="preserve">Queensland Government</t>
  </si>
  <si>
    <t xml:space="preserve">Ground cover mapping methodology</t>
  </si>
  <si>
    <t xml:space="preserve">Official methodology webpage</t>
  </si>
  <si>
    <t xml:space="preserve">https://www.qld.gov.au/environment/land/management/mapping/statewide-monitoring/groundcover/methodology</t>
  </si>
  <si>
    <t xml:space="preserve">Operational ground-cover mapping context</t>
  </si>
  <si>
    <t xml:space="preserve">Useful accessible source for non-technical report appendices.</t>
  </si>
  <si>
    <t xml:space="preserve">Official methodology</t>
  </si>
  <si>
    <t xml:space="preserve">TS-001</t>
  </si>
  <si>
    <t xml:space="preserve">Time-series change detection</t>
  </si>
  <si>
    <t xml:space="preserve">BFAST</t>
  </si>
  <si>
    <t xml:space="preserve">Verbesselt, J.; Hyndman, R.; Newnham, G.; Culvenor, D.</t>
  </si>
  <si>
    <t xml:space="preserve">Detecting trend and seasonal changes in satellite image time series</t>
  </si>
  <si>
    <t xml:space="preserve">Remote Sensing of Environment, 114(1), 106–115</t>
  </si>
  <si>
    <t xml:space="preserve">10.1016/j.rse.2009.08.014</t>
  </si>
  <si>
    <t xml:space="preserve">https://doi.org/10.1016/j.rse.2009.08.014</t>
  </si>
  <si>
    <t xml:space="preserve">General / satellite time series</t>
  </si>
  <si>
    <t xml:space="preserve">BFAST foundations; trend/season/remainder decomposition</t>
  </si>
  <si>
    <t xml:space="preserve">Core BFAST citation if/when we run tbreak/BFAST or discuss the go/no-go decision.</t>
  </si>
  <si>
    <t xml:space="preserve">Must cite if BFAST used</t>
  </si>
  <si>
    <t xml:space="preserve">TS-002</t>
  </si>
  <si>
    <t xml:space="preserve">BFAST phenology</t>
  </si>
  <si>
    <t xml:space="preserve">Verbesselt, J.; Hyndman, R.; Zeileis, A.; Culvenor, D.</t>
  </si>
  <si>
    <t xml:space="preserve">Phenological change detection while accounting for abrupt and gradual trends in satellite image time series</t>
  </si>
  <si>
    <t xml:space="preserve">Remote Sensing of Environment, 114(12), 2970–2980</t>
  </si>
  <si>
    <t xml:space="preserve">10.1016/j.rse.2010.08.003</t>
  </si>
  <si>
    <t xml:space="preserve">https://doi.org/10.1016/j.rse.2010.08.003</t>
  </si>
  <si>
    <t xml:space="preserve">Gradual vs abrupt trend changes; vegetation phenology</t>
  </si>
  <si>
    <t xml:space="preserve">Useful if we need to explain why subtle/gradual vegetation response may be more likely than a single step change.</t>
  </si>
  <si>
    <t xml:space="preserve">Should cite if BFAST used</t>
  </si>
  <si>
    <t xml:space="preserve">TS-003</t>
  </si>
  <si>
    <t xml:space="preserve">BFAST monitor</t>
  </si>
  <si>
    <t xml:space="preserve">Verbesselt, J.; Zeileis, A.; Herold, M.</t>
  </si>
  <si>
    <t xml:space="preserve">2012</t>
  </si>
  <si>
    <t xml:space="preserve">Near real-time disturbance detection using satellite image time series</t>
  </si>
  <si>
    <t xml:space="preserve">Remote Sensing of Environment, 123, 98–108</t>
  </si>
  <si>
    <t xml:space="preserve">10.1016/j.rse.2012.02.022</t>
  </si>
  <si>
    <t xml:space="preserve">https://doi.org/10.1016/j.rse.2012.02.022</t>
  </si>
  <si>
    <t xml:space="preserve">Near-real-time monitoring; BFASTmonitor</t>
  </si>
  <si>
    <t xml:space="preserve">Optional BFAST family citation. More relevant if discussing monitoring extensions beyond retrospective analysis.</t>
  </si>
  <si>
    <t xml:space="preserve">TS-004</t>
  </si>
  <si>
    <t xml:space="preserve">BFAST package</t>
  </si>
  <si>
    <t xml:space="preserve">BFAST project / CRAN</t>
  </si>
  <si>
    <t xml:space="preserve">bfast: Breaks for Additive Season and Trend</t>
  </si>
  <si>
    <t xml:space="preserve">R package documentation</t>
  </si>
  <si>
    <t xml:space="preserve">https://cran.r-project.org/web/packages/bfast/</t>
  </si>
  <si>
    <t xml:space="preserve">Software citation; implementation details</t>
  </si>
  <si>
    <t xml:space="preserve">Use package citation/documentation in methods if BFAST is run.</t>
  </si>
  <si>
    <t xml:space="preserve">Software documentation</t>
  </si>
  <si>
    <t xml:space="preserve">TS-005</t>
  </si>
  <si>
    <t xml:space="preserve">tbreak package</t>
  </si>
  <si>
    <t xml:space="preserve">Laffan, S. W. / biogeospatial</t>
  </si>
  <si>
    <t xml:space="preserve">tbreak: R wrappers/workflows for BFAST and Rbeast raster time-series break analysis</t>
  </si>
  <si>
    <t xml:space="preserve">Software repository</t>
  </si>
  <si>
    <t xml:space="preserve">https://github.com/biogeospatial/tbreak</t>
  </si>
  <si>
    <t xml:space="preserve">General / project-specific tool</t>
  </si>
  <si>
    <t xml:space="preserve">tbreak workflow; BFAST wrapper</t>
  </si>
  <si>
    <t xml:space="preserve">Project-relevant software source. Cite in internal method notes; final academic citation may need package/repo citation details.</t>
  </si>
  <si>
    <t xml:space="preserve">Must cite if tbreak used</t>
  </si>
  <si>
    <t xml:space="preserve">User-provided / web searched</t>
  </si>
  <si>
    <t xml:space="preserve">TS-006</t>
  </si>
  <si>
    <t xml:space="preserve">BFAST upscaling</t>
  </si>
  <si>
    <t xml:space="preserve">Masiliūnas, D.; Verbesselt, J.; Zeileis, A.; Appel, M.; et al.</t>
  </si>
  <si>
    <t xml:space="preserve">BFAST Lite: A lightweight break detection method for satellite image time series</t>
  </si>
  <si>
    <t xml:space="preserve">Remote Sensing, 13(16), 3308</t>
  </si>
  <si>
    <t xml:space="preserve">10.3390/rs13163308</t>
  </si>
  <si>
    <t xml:space="preserve">https://doi.org/10.3390/rs13163308</t>
  </si>
  <si>
    <t xml:space="preserve">Global / land cover change</t>
  </si>
  <si>
    <t xml:space="preserve">Scaling BFAST / computational efficiency</t>
  </si>
  <si>
    <t xml:space="preserve">Useful if we discuss scaling from plots to whole landscapes or computational limitations.</t>
  </si>
  <si>
    <t xml:space="preserve">TS-007</t>
  </si>
  <si>
    <t xml:space="preserve">LandTrendr</t>
  </si>
  <si>
    <t xml:space="preserve">Kennedy, R. E.; Yang, Z.; Cohen, W. B.</t>
  </si>
  <si>
    <t xml:space="preserve">Detecting trends in forest disturbance and recovery using yearly Landsat time series: 1. LandTrendr — temporal segmentation algorithms</t>
  </si>
  <si>
    <t xml:space="preserve">Remote Sensing of Environment, 114(12), 2897–2910</t>
  </si>
  <si>
    <t xml:space="preserve">10.1016/j.rse.2010.07.008</t>
  </si>
  <si>
    <t xml:space="preserve">https://doi.org/10.1016/j.rse.2010.07.008</t>
  </si>
  <si>
    <t xml:space="preserve">General / Landsat time series</t>
  </si>
  <si>
    <t xml:space="preserve">Alternative time-series segmentation method</t>
  </si>
  <si>
    <t xml:space="preserve">Optional comparator for breakpoint/segmentation methods. Helps show that BFAST is one of several possible approaches.</t>
  </si>
  <si>
    <t xml:space="preserve">TS-008</t>
  </si>
  <si>
    <t xml:space="preserve">CCDC</t>
  </si>
  <si>
    <t xml:space="preserve">Zhu, Z.; Woodcock, C. E.</t>
  </si>
  <si>
    <t xml:space="preserve">Continuous change detection and classification of land cover using all available Landsat data</t>
  </si>
  <si>
    <t xml:space="preserve">Remote Sensing of Environment, 144, 152–171</t>
  </si>
  <si>
    <t xml:space="preserve">10.1016/j.rse.2014.01.011</t>
  </si>
  <si>
    <t xml:space="preserve">https://doi.org/10.1016/j.rse.2014.01.011</t>
  </si>
  <si>
    <t xml:space="preserve">Alternative continuous change detection method</t>
  </si>
  <si>
    <t xml:space="preserve">Optional high-quality RSE comparator if explaining why we are using simpler pre/post and BFAST rather than more complex CCDC.</t>
  </si>
  <si>
    <t xml:space="preserve">ECO-WET-001</t>
  </si>
  <si>
    <t xml:space="preserve">Wetland ecology</t>
  </si>
  <si>
    <t xml:space="preserve">Floodplain earthworks</t>
  </si>
  <si>
    <t xml:space="preserve">Steinfeld, C. M. M.; Kingsford, R. T.</t>
  </si>
  <si>
    <t xml:space="preserve">2013</t>
  </si>
  <si>
    <t xml:space="preserve">Disconnecting the floodplain: earthworks and their ecological effect on a dryland floodplain in the Murray–Darling Basin, Australia</t>
  </si>
  <si>
    <t xml:space="preserve">River Research and Applications, 29, 206–218</t>
  </si>
  <si>
    <t xml:space="preserve">10.1002/rra.1583</t>
  </si>
  <si>
    <t xml:space="preserve">https://doi.org/10.1002/rra.1583</t>
  </si>
  <si>
    <t xml:space="preserve">Murray–Darling Basin</t>
  </si>
  <si>
    <t xml:space="preserve">Management context: channel/levee/earthworks effects</t>
  </si>
  <si>
    <t xml:space="preserve">Highly relevant to Gayini because the management story involves disrupted irrigation channels and hydrological reconnection.</t>
  </si>
  <si>
    <t xml:space="preserve">Web verified 2026-07-07 (Wiley): DOI corrected from rra.1593; 29(2), 206-218</t>
  </si>
  <si>
    <t xml:space="preserve">ECO-WET-002</t>
  </si>
  <si>
    <t xml:space="preserve">Detecting floodplain earthworks</t>
  </si>
  <si>
    <t xml:space="preserve">Steinfeld, C. M. M.; Kingsford, R. T.; Laffan, S. W.</t>
  </si>
  <si>
    <t xml:space="preserve">Semi-automated GIS techniques for detecting floodplain earthworks</t>
  </si>
  <si>
    <t xml:space="preserve">Hydrological Processes, 27, 579–591</t>
  </si>
  <si>
    <t xml:space="preserve">10.1002/hyp.9244</t>
  </si>
  <si>
    <t xml:space="preserve">https://doi.org/10.1002/hyp.9244</t>
  </si>
  <si>
    <t xml:space="preserve">Earthworks/levee/channel context; GIS method context</t>
  </si>
  <si>
    <t xml:space="preserve">Useful UNSW/Kingsford/Laffan reference for earthworks altering floodplain hydrology.</t>
  </si>
  <si>
    <t xml:space="preserve">Web verified 2026-07-07 (Wiley): DOI corrected from hyp.9239; 27, 579-591</t>
  </si>
  <si>
    <t xml:space="preserve">ECO-WET-003</t>
  </si>
  <si>
    <t xml:space="preserve">Waterbirds and floodplain hydrology</t>
  </si>
  <si>
    <t xml:space="preserve">Kingsford, R. T.; et al.</t>
  </si>
  <si>
    <t xml:space="preserve">Global implications of declining waterbird populations in large river basins</t>
  </si>
  <si>
    <t xml:space="preserve">Global Change Biology</t>
  </si>
  <si>
    <t xml:space="preserve">https://wintonwetlands.org.au/app/uploads/2018/02/Kingsford_et_al-2017-Global_Change_Biology.pdf</t>
  </si>
  <si>
    <t xml:space="preserve">Eastern Australia / global river basins</t>
  </si>
  <si>
    <t xml:space="preserve">Ecological context for wetland hydrology and waterbirds</t>
  </si>
  <si>
    <t xml:space="preserve">Use for broader conservation framing if workshop/report links inundation to wetland biodiversity outcomes.</t>
  </si>
  <si>
    <t xml:space="preserve">Optional/background</t>
  </si>
  <si>
    <t xml:space="preserve">ECO-WET-004</t>
  </si>
  <si>
    <t xml:space="preserve">Floodplain state-transition</t>
  </si>
  <si>
    <t xml:space="preserve">Bino, G.; Sisson, S. A.; Kingsford, R. T.; Thomas, R. F.; Bowen, S.</t>
  </si>
  <si>
    <t xml:space="preserve">Developing state and transition models of floodplain wetlands</t>
  </si>
  <si>
    <t xml:space="preserve">Journal of Applied Ecology</t>
  </si>
  <si>
    <t xml:space="preserve">10.1111/1365-2664.12410</t>
  </si>
  <si>
    <t xml:space="preserve">https://doi.org/10.1111/1365-2664.12410</t>
  </si>
  <si>
    <t xml:space="preserve">Australian floodplain wetlands</t>
  </si>
  <si>
    <t xml:space="preserve">Management interpretation; ecological response states</t>
  </si>
  <si>
    <t xml:space="preserve">Useful if we move from remote-sensing change to ecological interpretation/state-transition framing.</t>
  </si>
  <si>
    <t xml:space="preserve">ECO-WET-005</t>
  </si>
  <si>
    <t xml:space="preserve">Macquarie vegetation mapping</t>
  </si>
  <si>
    <t xml:space="preserve">Bowen, S.; et al.</t>
  </si>
  <si>
    <t xml:space="preserve">Vegetation extent and condition mapping of the Macquarie Marshes and floodplain</t>
  </si>
  <si>
    <t xml:space="preserve">https://datasets.seed.nsw.gov.au/dataset/4f426f03-0fc2-476a-b4e2-96ae9acb21c4/resource/cd63a101-241a-4239-88e0-9029694aa76e/download/final-technical-report-vegetation-extent-and-condition-mapping-of-the-macquarie-marshes-and-floo.pdf</t>
  </si>
  <si>
    <t xml:space="preserve">Wetland vegetation mapping; condition context</t>
  </si>
  <si>
    <t xml:space="preserve">Good comparator for combining inundation context and vegetation condition mapping in NSW floodplain wetlands.</t>
  </si>
  <si>
    <t xml:space="preserve">ECO-WET-006</t>
  </si>
  <si>
    <t xml:space="preserve">Murrumbidgee MER</t>
  </si>
  <si>
    <t xml:space="preserve">Wassens, S.; et al.</t>
  </si>
  <si>
    <t xml:space="preserve">Commonwealth Environmental Water Holder Monitoring, Evaluation and Research: Murrumbidgee Selected Area reporting</t>
  </si>
  <si>
    <t xml:space="preserve">https://researchoutput.csu.edu.au/files/513726046/487622549_published_report.pdf</t>
  </si>
  <si>
    <t xml:space="preserve">Murrumbidgee / Lowbidgee</t>
  </si>
  <si>
    <t xml:space="preserve">Recent environmental watering, inundation and ecology context</t>
  </si>
  <si>
    <t xml:space="preserve">Good contemporary management context; cite for local environmental-flow monitoring where relevant.</t>
  </si>
  <si>
    <t xml:space="preserve">Optional/context</t>
  </si>
  <si>
    <t xml:space="preserve">ECO-WET-007</t>
  </si>
  <si>
    <t xml:space="preserve">Lowbidgee water loss</t>
  </si>
  <si>
    <t xml:space="preserve">Kreibich, J.; Bino, G.; Zheng, H.; Chiew, F.; Glamore, W.; Woods, J.; Kingsford, R. T.</t>
  </si>
  <si>
    <t xml:space="preserve">2024</t>
  </si>
  <si>
    <t xml:space="preserve">River regulation and climate change reduce river flows to major Australian floodplain wetland</t>
  </si>
  <si>
    <t xml:space="preserve">Journal of Environmental Management, 370, 122962</t>
  </si>
  <si>
    <t xml:space="preserve">10.1016/j.jenvman.2024.122962</t>
  </si>
  <si>
    <t xml:space="preserve">https://doi.org/10.1016/j.jenvman.2024.122962</t>
  </si>
  <si>
    <t xml:space="preserve">Lower Murrumbidgee / Lowbidgee</t>
  </si>
  <si>
    <t xml:space="preserve">Local hydrological context; restoration significance</t>
  </si>
  <si>
    <t xml:space="preserve">Potentially highly relevant but use original article once identified; current row is a placeholder/search lead.</t>
  </si>
  <si>
    <t xml:space="preserve">Candidate / needs article details</t>
  </si>
  <si>
    <t xml:space="preserve">Web verified 2026-07-07 (PubMed 39442400). Also in project as 1s2_0S0301479724029487main.pdf</t>
  </si>
  <si>
    <t xml:space="preserve">DRY-001</t>
  </si>
  <si>
    <t xml:space="preserve">Dryland ecology / grazing</t>
  </si>
  <si>
    <t xml:space="preserve">Livestock and exotic plant cover</t>
  </si>
  <si>
    <t xml:space="preserve">Eldridge, D. J.; Oliver, I.; Val, J.; Travers, S. K.</t>
  </si>
  <si>
    <t xml:space="preserve">Limited evidence for the use of livestock for the conservation management of exotic plant cover</t>
  </si>
  <si>
    <t xml:space="preserve">Australian Journal of Botany, 68, 137–145</t>
  </si>
  <si>
    <t xml:space="preserve">https://www.aridecologylab.com.au/publications/</t>
  </si>
  <si>
    <t xml:space="preserve">Semi-arid Australia</t>
  </si>
  <si>
    <t xml:space="preserve">Grazing interpretation; caution about treatment effects</t>
  </si>
  <si>
    <t xml:space="preserve">Useful David Eldridge paper for cautious framing of limited grazing as conservation management.</t>
  </si>
  <si>
    <t xml:space="preserve">Should cite if discussing grazing</t>
  </si>
  <si>
    <t xml:space="preserve">Arid Ecology Lab publications</t>
  </si>
  <si>
    <t xml:space="preserve">DRY-002</t>
  </si>
  <si>
    <t xml:space="preserve">Grazing/aridity and ants</t>
  </si>
  <si>
    <t xml:space="preserve">Eldridge, D. J.; Oliver, I.; Val, J.; Travers, S. K.; Delgado-Baquerizo, M.</t>
  </si>
  <si>
    <t xml:space="preserve">Grazing and aridity have contrasting effects on the functional and taxonomic diversity of ants</t>
  </si>
  <si>
    <t xml:space="preserve">Basic and Applied Ecology, 48, 73–82</t>
  </si>
  <si>
    <t xml:space="preserve">10.1016/j.baae.2020.07.003</t>
  </si>
  <si>
    <t xml:space="preserve">https://doi.org/10.1016/j.baae.2020.07.003</t>
  </si>
  <si>
    <t xml:space="preserve">Drylands / Australia</t>
  </si>
  <si>
    <t xml:space="preserve">Ground biodiversity context; grazing and aridity caveats</t>
  </si>
  <si>
    <t xml:space="preserve">Useful if relating remote-sensing ground cover to ground biodiversity surveys.</t>
  </si>
  <si>
    <t xml:space="preserve">DRY-003</t>
  </si>
  <si>
    <t xml:space="preserve">Soil multifunctionality</t>
  </si>
  <si>
    <t xml:space="preserve">Eldridge, D. J.; Delgado-Baquerizo, M.; Quero, J. L.; et al.</t>
  </si>
  <si>
    <t xml:space="preserve">Surface indicators are correlated with soil multifunctionality in global drylands</t>
  </si>
  <si>
    <t xml:space="preserve">Journal of Applied Ecology, 57(2), 424–435</t>
  </si>
  <si>
    <t xml:space="preserve">Global drylands</t>
  </si>
  <si>
    <t xml:space="preserve">Linking surface indicators/ground cover to ecosystem function</t>
  </si>
  <si>
    <t xml:space="preserve">Useful to support why simple surface indicators, including cover, can still be ecologically meaningful.</t>
  </si>
  <si>
    <t xml:space="preserve">DRY-004</t>
  </si>
  <si>
    <t xml:space="preserve">Biocrust and water</t>
  </si>
  <si>
    <t xml:space="preserve">Eldridge, D. J.; Reed, S.; Travers, S. K.; Bowker, M. A.; Maestre, F. T.; Ding, J.; et al.</t>
  </si>
  <si>
    <t xml:space="preserve">The pervasive and multifaceted influence of biocrusts on water in the world's drylands</t>
  </si>
  <si>
    <t xml:space="preserve">10.1111/gcb.15232</t>
  </si>
  <si>
    <t xml:space="preserve">https://doi.org/10.1111/gcb.15232</t>
  </si>
  <si>
    <t xml:space="preserve">Soil/biocrust-water interactions; ground condition interpretation</t>
  </si>
  <si>
    <t xml:space="preserve">Useful if drone/ground surveys include biocrust or soil-surface function.</t>
  </si>
  <si>
    <t xml:space="preserve">DRY-005</t>
  </si>
  <si>
    <t xml:space="preserve">Grazing biomass/fuel</t>
  </si>
  <si>
    <t xml:space="preserve">Travers, S. K.; Eldridge, D. J.; Koen, T. B.; Val, J.; Oliver, I.</t>
  </si>
  <si>
    <t xml:space="preserve">Livestock and kangaroo grazing have little effect on biomass and fuel hazard in semi-arid woodlands</t>
  </si>
  <si>
    <t xml:space="preserve">Forest Ecology and Management, 467, 118165</t>
  </si>
  <si>
    <t xml:space="preserve">Semi-arid woodlands, Australia</t>
  </si>
  <si>
    <t xml:space="preserve">Grazing treatment interpretation; biomass/cover caveats</t>
  </si>
  <si>
    <t xml:space="preserve">Useful supporting citation for scepticism about detecting effects of short/limited grazing treatments.</t>
  </si>
  <si>
    <t xml:space="preserve">DRY-006</t>
  </si>
  <si>
    <t xml:space="preserve">Soil biodiversity</t>
  </si>
  <si>
    <t xml:space="preserve">Delgado-Baquerizo, M.; Reich, P. B.; Trivedi, C.; Eldridge, D. J.; et al.</t>
  </si>
  <si>
    <t xml:space="preserve">Multiple elements of soil biodiversity drive ecosystem functions across biomes</t>
  </si>
  <si>
    <t xml:space="preserve">Nature Ecology &amp; Evolution, 4, 210–220</t>
  </si>
  <si>
    <t xml:space="preserve">10.1038/s41559-019-1084-y</t>
  </si>
  <si>
    <t xml:space="preserve">https://doi.org/10.1038/s41559-019-1084-y</t>
  </si>
  <si>
    <t xml:space="preserve">Ground ecology / soil biodiversity context</t>
  </si>
  <si>
    <t xml:space="preserve">High-quality ecology citation if the report connects remote-sensing cover to soil/biodiversity monitoring.</t>
  </si>
  <si>
    <t xml:space="preserve">Arid Ecology Lab publications / known DOI</t>
  </si>
  <si>
    <t xml:space="preserve">DRY-007</t>
  </si>
  <si>
    <t xml:space="preserve">Western Riverina rangeland health</t>
  </si>
  <si>
    <t xml:space="preserve">Eldridge, D. J.; Stafford, M. R.</t>
  </si>
  <si>
    <t xml:space="preserve">1999</t>
  </si>
  <si>
    <t xml:space="preserve">Rangeland health in the Western Riverina: 1990–1997</t>
  </si>
  <si>
    <t xml:space="preserve">Department of Land and Water Conservation, Sydney (report/monograph)</t>
  </si>
  <si>
    <t xml:space="preserve">https://research.unsw.edu.au/people/dr-david-john-eldridge/publications</t>
  </si>
  <si>
    <t xml:space="preserve">Western Riverina, NSW</t>
  </si>
  <si>
    <t xml:space="preserve">Local rangeland health context</t>
  </si>
  <si>
    <t xml:space="preserve">Potentially useful local/regional context; verify availability/details before formal citation.</t>
  </si>
  <si>
    <t xml:space="preserve">Technical report/book</t>
  </si>
  <si>
    <t xml:space="preserve">Web verified 2026-07-07 (UNSW): govt report, no DOI</t>
  </si>
  <si>
    <t xml:space="preserve">DRY-008</t>
  </si>
  <si>
    <t xml:space="preserve">Biocrust drone mapping</t>
  </si>
  <si>
    <t xml:space="preserve">Stewart, J.; Francis, R. J.; Eldridge, D. J.; Kingsford, R. T.; Machado de Lima, N.</t>
  </si>
  <si>
    <t xml:space="preserve">Simplifying remote sensing of biocrusts with drone imagery and machine learning</t>
  </si>
  <si>
    <t xml:space="preserve">Preprint</t>
  </si>
  <si>
    <t xml:space="preserve">10.2139/ssrn.5107653</t>
  </si>
  <si>
    <t xml:space="preserve">https://doi.org/10.2139/ssrn.5107653</t>
  </si>
  <si>
    <t xml:space="preserve">Dryland / restoration sites</t>
  </si>
  <si>
    <t xml:space="preserve">Drone/ground-survey integration; biocrust/soil monitoring</t>
  </si>
  <si>
    <t xml:space="preserve">Relevant Jana Stewart-led work. Treat as preprint/candidate until peer-reviewed status is confirmed.</t>
  </si>
  <si>
    <t xml:space="preserve">Candidate / caution</t>
  </si>
  <si>
    <t xml:space="preserve">Web verified 2026-07-07 (SSRN): still preprint Jan 2025, not yet peer-reviewed - retain caution</t>
  </si>
  <si>
    <t xml:space="preserve">DRY-009</t>
  </si>
  <si>
    <t xml:space="preserve">Ground measures and rangeland function</t>
  </si>
  <si>
    <t xml:space="preserve">Ludwig, J. A.; Tongway, D. J.; Hindley, N.</t>
  </si>
  <si>
    <t xml:space="preserve">Can simple, on-ground vegetation and soil measures reliably indicate the health of rangelands? An application in Australia’s semi-arid woodlands</t>
  </si>
  <si>
    <t xml:space="preserve">The Rangeland Journal, 45(6), 235-245</t>
  </si>
  <si>
    <t xml:space="preserve">10.1071/RJ24004</t>
  </si>
  <si>
    <t xml:space="preserve">https://www.publish.csiro.au/RJ/RJ24004</t>
  </si>
  <si>
    <t xml:space="preserve">Linking simple plot measurements to condition/function</t>
  </si>
  <si>
    <t xml:space="preserve">Likely useful for connecting remote-sensing summaries to field condition metrics; verify citation details.</t>
  </si>
  <si>
    <t xml:space="preserve">Web verified 2026-07-07 (CSIRO RJ24004): authors/title corrected (NOT Eldridge-authored); vol 45(6) 235-245 confirmed</t>
  </si>
  <si>
    <t xml:space="preserve">TOOLS-001</t>
  </si>
  <si>
    <t xml:space="preserve">Software/tools</t>
  </si>
  <si>
    <t xml:space="preserve">Polygon raster extraction</t>
  </si>
  <si>
    <t xml:space="preserve">Baston, D.</t>
  </si>
  <si>
    <t xml:space="preserve">exactextractr: Fast Extraction from Raster Datasets using Polygons</t>
  </si>
  <si>
    <t xml:space="preserve">https://isciences.gitlab.io/exactextractr/</t>
  </si>
  <si>
    <t xml:space="preserve">Plot/paddock raster extraction using polygon weights</t>
  </si>
  <si>
    <t xml:space="preserve">Must cite if exactextractr is a main extraction package in final methods.</t>
  </si>
  <si>
    <t xml:space="preserve">Must cite if used</t>
  </si>
  <si>
    <t xml:space="preserve">TOOLS-002</t>
  </si>
  <si>
    <t xml:space="preserve">Raster processing</t>
  </si>
  <si>
    <t xml:space="preserve">Hijmans, R. J.</t>
  </si>
  <si>
    <t xml:space="preserve">terra: Spatial Data Analysis</t>
  </si>
  <si>
    <t xml:space="preserve">https://cran.r-project.org/package=terra</t>
  </si>
  <si>
    <t xml:space="preserve">Raster reading, projection, resampling, masking</t>
  </si>
  <si>
    <t xml:space="preserve">Cite if terra is used for raster processing.</t>
  </si>
  <si>
    <t xml:space="preserve">TOOLS-003</t>
  </si>
  <si>
    <t xml:space="preserve">Vector processing</t>
  </si>
  <si>
    <t xml:space="preserve">Pebesma, E.</t>
  </si>
  <si>
    <t xml:space="preserve">2018</t>
  </si>
  <si>
    <t xml:space="preserve">Simple Features for R: Standardized Support for Spatial Vector Data</t>
  </si>
  <si>
    <t xml:space="preserve">The R Journal, 10(1), 439–446</t>
  </si>
  <si>
    <t xml:space="preserve">10.32614/RJ-2018-009</t>
  </si>
  <si>
    <t xml:space="preserve">https://doi.org/10.32614/RJ-2018-009</t>
  </si>
  <si>
    <t xml:space="preserve">Vector/polygon processing with sf</t>
  </si>
  <si>
    <t xml:space="preserve">Cite if sf is used in final method write-up.</t>
  </si>
  <si>
    <t xml:space="preserve">Peer-reviewed software article</t>
  </si>
  <si>
    <t xml:space="preserve">RUE-001</t>
  </si>
  <si>
    <t xml:space="preserve">Attribution / climate vs management</t>
  </si>
  <si>
    <t xml:space="preserve">RESTREND foundational</t>
  </si>
  <si>
    <t xml:space="preserve">Evans, J.; Geerken, R.</t>
  </si>
  <si>
    <t xml:space="preserve">2004</t>
  </si>
  <si>
    <t xml:space="preserve">Discrimination between climate and human-induced dryland degradation</t>
  </si>
  <si>
    <t xml:space="preserve">Journal of Arid Environments, 57(4), 535-554</t>
  </si>
  <si>
    <t xml:space="preserve">10.1016/j.jaridenv.2003.11.010</t>
  </si>
  <si>
    <t xml:space="preserve">https://doi.org/10.1016/j.jaridenv.2003.11.010</t>
  </si>
  <si>
    <t xml:space="preserve">Syria / drylands</t>
  </si>
  <si>
    <t xml:space="preserve">Residual trends (RESTREND); separate climate from management</t>
  </si>
  <si>
    <t xml:space="preserve">Foundational RESTREND paper: regress vegetation on rainfall, test residual trend for a management signal. Core method citation for separating grazing/management from rainfall at Gayini.</t>
  </si>
  <si>
    <t xml:space="preserve">Web verified 2026-07-07 (ScienceDirect)</t>
  </si>
  <si>
    <t xml:space="preserve">RUE-002</t>
  </si>
  <si>
    <t xml:space="preserve">RUE + RESTREND case study</t>
  </si>
  <si>
    <t xml:space="preserve">Wessels, K. J.; Prince, S. D.; Malherbe, J.; Small, J.; Frost, P. E.; VanZyl, D.</t>
  </si>
  <si>
    <t xml:space="preserve">Can human-induced land degradation be distinguished from the effects of rainfall variability? A case study in South Africa</t>
  </si>
  <si>
    <t xml:space="preserve">Journal of Arid Environments, 68(2), 271-297</t>
  </si>
  <si>
    <t xml:space="preserve">10.1016/j.jaridenv.2006.05.015</t>
  </si>
  <si>
    <t xml:space="preserve">https://doi.org/10.1016/j.jaridenv.2006.05.015</t>
  </si>
  <si>
    <t xml:space="preserve">South Africa / semi-arid rangelands</t>
  </si>
  <si>
    <t xml:space="preserve">Rain-use efficiency (RUE) and RESTREND; degraded vs non-degraded</t>
  </si>
  <si>
    <t xml:space="preserve">Southern-hemisphere benchmark for the exact question the deck asks. Uses a natural experiment of degraded vs adjacent non-degraded rangeland to test whether management can be told apart from rainfall.</t>
  </si>
  <si>
    <t xml:space="preserve">Web verified 2026-07-07 (Wiley/multiple)</t>
  </si>
  <si>
    <t xml:space="preserve">RUE-003</t>
  </si>
  <si>
    <t xml:space="preserve">Detectability limits</t>
  </si>
  <si>
    <t xml:space="preserve">Wessels, K. J.; van den Bergh, F.; Scholes, R. J.</t>
  </si>
  <si>
    <t xml:space="preserve">Limits to detectability of land degradation by trend analysis of vegetation index data</t>
  </si>
  <si>
    <t xml:space="preserve">Remote Sensing of Environment, 125, 10-22</t>
  </si>
  <si>
    <t xml:space="preserve">10.1016/j.rse.2012.06.022</t>
  </si>
  <si>
    <t xml:space="preserve">https://doi.org/10.1016/j.rse.2012.06.022</t>
  </si>
  <si>
    <t xml:space="preserve">Drylands / general</t>
  </si>
  <si>
    <t xml:space="preserve">Detectability; statistical power of trend/residual methods</t>
  </si>
  <si>
    <t xml:space="preserve">Important caveat citation: how much management signal is actually detectable against rainfall noise. Directly supports the deck's caution that vegetation response is modest and may be undetectable.</t>
  </si>
  <si>
    <t xml:space="preserve">Web verified 2026-07-07 (RSE)</t>
  </si>
  <si>
    <t xml:space="preserve">RUE-004</t>
  </si>
  <si>
    <t xml:space="preserve">TSS-RESTREND (Australia)</t>
  </si>
  <si>
    <t xml:space="preserve">Burrell, A. L.; Evans, J. P.; Liu, Y.</t>
  </si>
  <si>
    <t xml:space="preserve">Detecting dryland degradation using Time Series Segmentation and Residual Trend analysis (TSS-RESTREND)</t>
  </si>
  <si>
    <t xml:space="preserve">Remote Sensing of Environment, 197, 43-57</t>
  </si>
  <si>
    <t xml:space="preserve">10.1016/j.rse.2017.05.018</t>
  </si>
  <si>
    <t xml:space="preserve">https://doi.org/10.1016/j.rse.2017.05.018</t>
  </si>
  <si>
    <t xml:space="preserve">Australia / drylands (UNSW)</t>
  </si>
  <si>
    <t xml:space="preserve">TSS-RESTREND; breakpoint + residual trend; NSW context</t>
  </si>
  <si>
    <t xml:space="preserve">Highest-priority method fit: UNSW/ARC method that combines BFAST-style breakpoints with RESTREND to attribute change while controlling rainfall. Notes floods trigger BFAST breakpoints in semi-arid NSW - directly informs the BFAST/tbreak go/no-go.</t>
  </si>
  <si>
    <t xml:space="preserve">Must cite (method)</t>
  </si>
  <si>
    <t xml:space="preserve">Web verified 2026-07-07 (RSE; CRAN TSS.RESTREND)</t>
  </si>
  <si>
    <t xml:space="preserve">RUE-005</t>
  </si>
  <si>
    <t xml:space="preserve">Climate-mode attribution (Australia)</t>
  </si>
  <si>
    <t xml:space="preserve">Burrell, A. L.; Evans, J. P.; De Kauwe, M. G.</t>
  </si>
  <si>
    <t xml:space="preserve">Anthropogenic climate change has driven over 5 million km2 of drylands towards desertification</t>
  </si>
  <si>
    <t xml:space="preserve">Nature Communications, 11, 3853</t>
  </si>
  <si>
    <t xml:space="preserve">10.1038/s41467-020-17710-7</t>
  </si>
  <si>
    <t xml:space="preserve">https://doi.org/10.1038/s41467-020-17710-7</t>
  </si>
  <si>
    <t xml:space="preserve">Global drylands / Australian method</t>
  </si>
  <si>
    <t xml:space="preserve">Attribution of vegetation change to CO2, climate variability, climate change, land use</t>
  </si>
  <si>
    <t xml:space="preserve">Extends TSS-RESTREND to formally partition vegetation change among CO2, interannual climate variability, long-term climate change and land use. Template for the attribution framing the Gayini story is heading toward.</t>
  </si>
  <si>
    <t xml:space="preserve">Web verified 2026-07-07 (Nature Comms)</t>
  </si>
  <si>
    <t xml:space="preserve">ENSO-001</t>
  </si>
  <si>
    <t xml:space="preserve">Climate variability / ENSO</t>
  </si>
  <si>
    <t xml:space="preserve">ENSO-Australia rainfall</t>
  </si>
  <si>
    <t xml:space="preserve">Nicholls, N.</t>
  </si>
  <si>
    <t xml:space="preserve">1991</t>
  </si>
  <si>
    <t xml:space="preserve">The El Nino / Southern Oscillation and Australian vegetation</t>
  </si>
  <si>
    <t xml:space="preserve">Vegetatio (Plant Ecology), 91, 23-36</t>
  </si>
  <si>
    <t xml:space="preserve">10.1007/BF00036045</t>
  </si>
  <si>
    <t xml:space="preserve">https://doi.org/10.1007/BF00036045</t>
  </si>
  <si>
    <t xml:space="preserve">ENSO-rainfall-vegetation linkage; interannual variability</t>
  </si>
  <si>
    <t xml:space="preserve">Classic conceptual citation for why Australian semi-arid vegetation tracks ENSO-driven rainfall. Justifies treating ENSO/rainfall as the dominant confounder before any management inference.</t>
  </si>
  <si>
    <t xml:space="preserve">Web verified 2026-07-07 (Springer)</t>
  </si>
  <si>
    <t xml:space="preserve">ENSO-002</t>
  </si>
  <si>
    <t xml:space="preserve">ENSO-Australia review</t>
  </si>
  <si>
    <t xml:space="preserve">Chung, C. T. Y.; et al. (see note)</t>
  </si>
  <si>
    <t xml:space="preserve">Climate impacts of the El Nino-Southern Oscillation on Australia</t>
  </si>
  <si>
    <t xml:space="preserve">Nature Reviews Earth &amp; Environment</t>
  </si>
  <si>
    <t xml:space="preserve">10.1038/s43017-025-00747-x</t>
  </si>
  <si>
    <t xml:space="preserve">https://doi.org/10.1038/s43017-025-00747-x</t>
  </si>
  <si>
    <t xml:space="preserve">ENSO teleconnections; spring coherence; La Nina vs El Nino asymmetry; CP vs EP</t>
  </si>
  <si>
    <t xml:space="preserve">Up-to-date authoritative review: ENSO explains ~25% of eastern-Australian spring rainfall variability, with La Nina/El Nino asymmetry and event-flavour effects. Use to define the ENSO covariate/period-matching strategy for the pre/post split. NOTE: confirm full author list before final citation.</t>
  </si>
  <si>
    <t xml:space="preserve">Web verified 2026-07-07 (Nature Rev Earth Env); author list to confirm</t>
  </si>
  <si>
    <t xml:space="preserve">ENSO-003</t>
  </si>
  <si>
    <t xml:space="preserve">ENSO signal in NDVI time series</t>
  </si>
  <si>
    <t xml:space="preserve">(see note - review)</t>
  </si>
  <si>
    <t xml:space="preserve">Impact of El Nino-Southern Oscillation on global vegetation (review)</t>
  </si>
  <si>
    <t xml:space="preserve">Atmosphere, 16(6), 701</t>
  </si>
  <si>
    <t xml:space="preserve">10.3390/atmos16060701</t>
  </si>
  <si>
    <t xml:space="preserve">https://doi.org/10.3390/atmos16060701</t>
  </si>
  <si>
    <t xml:space="preserve">Global (incl. Australia)</t>
  </si>
  <si>
    <t xml:space="preserve">Extracting/regressing out ENSO signal from NDVI/LAI time series</t>
  </si>
  <si>
    <t xml:space="preserve">Method-oriented review of how ENSO signals are isolated in satellite vegetation series (correlation with Nino3.4, lagged response, LAI anomalies for Australia). Supporting citation for an ENSO-controlled time-series design. NOTE: verify authorship before final use.</t>
  </si>
  <si>
    <t xml:space="preserve">Web verified 2026-07-07 (MDPI); author list to confirm</t>
  </si>
  <si>
    <t xml:space="preserve">AUS-VEG-001</t>
  </si>
  <si>
    <t xml:space="preserve">Vegetation-water response (RS)</t>
  </si>
  <si>
    <t xml:space="preserve">Rainfall-controlled flood response</t>
  </si>
  <si>
    <t xml:space="preserve">Broich, M.; Tulbure, M. G.; Verbesselt, J.; Xin, Q.; Wearne, J.</t>
  </si>
  <si>
    <t xml:space="preserve">Quantifying Australia's dryland vegetation response to flooding and drought at sub-continental scale</t>
  </si>
  <si>
    <t xml:space="preserve">Remote Sensing of Environment, 212, 60-78</t>
  </si>
  <si>
    <t xml:space="preserve">10.1016/j.rse.2018.04.032</t>
  </si>
  <si>
    <t xml:space="preserve">https://doi.org/10.1016/j.rse.2018.04.032</t>
  </si>
  <si>
    <t xml:space="preserve">Murray-Darling Basin, Australia (UNSW)</t>
  </si>
  <si>
    <t xml:space="preserve">Top-down model of greening vs flooding while controlling for rainfall; 26-yr Landsat; spans Millennium Drought</t>
  </si>
  <si>
    <t xml:space="preserve">Best single fit for the deck's core problem. Whole-MDB Landsat model that separates the flooding signal from rainfall and shows response depends on recent rainfall, prior greenness and time since last flood. Direct precedent for the Gayini inundation-vs-vegetation analysis.</t>
  </si>
  <si>
    <t xml:space="preserve">AUS-VEG-002</t>
  </si>
  <si>
    <t xml:space="preserve">BFAST in semi-arid NSW</t>
  </si>
  <si>
    <t xml:space="preserve">Watts, L. M.; Laffan, S. W.</t>
  </si>
  <si>
    <t xml:space="preserve">Effectiveness of the BFAST algorithm for detecting vegetation response patterns in a semi-arid region</t>
  </si>
  <si>
    <t xml:space="preserve">Remote Sensing of Environment, 154, 234-245</t>
  </si>
  <si>
    <t xml:space="preserve">10.1016/j.rse.2014.08.023</t>
  </si>
  <si>
    <t xml:space="preserve">https://doi.org/10.1016/j.rse.2014.08.023</t>
  </si>
  <si>
    <t xml:space="preserve">Semi-arid NSW, Australia</t>
  </si>
  <si>
    <t xml:space="preserve">BFAST on MODIS EVI; detects flood-driven greening; misses fire</t>
  </si>
  <si>
    <t xml:space="preserve">Laffan (tbreak author) NSW study: BFAST reliably flags flood-driven vegetation change but ~80% of floods create breakpoints. Key evidence for the BFAST/tbreak go/no-go decision and for interpreting breakpoints as flood pulses, not degradation.</t>
  </si>
  <si>
    <t xml:space="preserve">Must cite (BFAST decision)</t>
  </si>
  <si>
    <t xml:space="preserve">Vol 154, 234-245 web-verified 2026-07-07 (Semantic Scholar/RSE). DOI 10.1016/j.rse.2014.08.023 inferred from PII S0034425714003204 - reconfirm on publisher page.</t>
  </si>
  <si>
    <t xml:space="preserve">AUS-VEG-003</t>
  </si>
  <si>
    <t xml:space="preserve">Floodplain resilience time series</t>
  </si>
  <si>
    <t xml:space="preserve">Wen, L.; Saintilan, N.; (see note)</t>
  </si>
  <si>
    <t xml:space="preserve">Landscape position strongly affects the resistance and resilience to water deficit anomaly of floodplain vegetation community</t>
  </si>
  <si>
    <t xml:space="preserve">Ecohydrology, 11(4), e2027</t>
  </si>
  <si>
    <t xml:space="preserve">10.1002/eco.2027</t>
  </si>
  <si>
    <t xml:space="preserve">https://doi.org/10.1002/eco.2027</t>
  </si>
  <si>
    <t xml:space="preserve">Semi-arid NW NSW, Australia</t>
  </si>
  <si>
    <t xml:space="preserve">EVI resistance/resilience of red gum, black box, coolibah, lignum to water-deficit</t>
  </si>
  <si>
    <t xml:space="preserve">NSW floodplain analysis of how different woody communities resist/recover from water-deficit anomalies - supports the deck's finding that ground-cover response is community-dependent. NOTE: confirm full author list.</t>
  </si>
  <si>
    <t xml:space="preserve">Web verified 2026-07-07 (Wiley); author list to confirm</t>
  </si>
  <si>
    <t xml:space="preserve">ECO-FP-001</t>
  </si>
  <si>
    <t xml:space="preserve">Floodplain ecology / flood pulse</t>
  </si>
  <si>
    <t xml:space="preserve">Flood-pulse concept</t>
  </si>
  <si>
    <t xml:space="preserve">Junk, W. J.; Bayley, P. B.; Sparks, R. E.</t>
  </si>
  <si>
    <t xml:space="preserve">1989</t>
  </si>
  <si>
    <t xml:space="preserve">The flood pulse concept in river-floodplain systems</t>
  </si>
  <si>
    <t xml:space="preserve">Canadian Special Publication of Fisheries and Aquatic Sciences, 106, 110-127</t>
  </si>
  <si>
    <t xml:space="preserve">https://www.researchgate.net/publication/256981220</t>
  </si>
  <si>
    <t xml:space="preserve">River-floodplain systems / global</t>
  </si>
  <si>
    <t xml:space="preserve">Conceptual foundation: flood pulse drives floodplain productivity and biota</t>
  </si>
  <si>
    <t xml:space="preserve">Foundational ecological concept underpinning the whole deck: the flood pulse (not standing water) is the main driver of floodplain productivity. Frame the inundation-first interpretation hierarchy around this. No DOI (conference special publication).</t>
  </si>
  <si>
    <t xml:space="preserve">Peer-reviewed conference publication</t>
  </si>
  <si>
    <t xml:space="preserve">Should cite (framing)</t>
  </si>
  <si>
    <t xml:space="preserve">Web verified 2026-07-07 (multiple); no DOI</t>
  </si>
  <si>
    <t xml:space="preserve">ECO-FP-002</t>
  </si>
  <si>
    <t xml:space="preserve">Red gum inundation requirements</t>
  </si>
  <si>
    <t xml:space="preserve">Catelotti, K.; Kingsford, R. T.; Bino, G.; Bacon, P.</t>
  </si>
  <si>
    <t xml:space="preserve">Inundation requirements for persistence and recovery of river red gums (Eucalyptus camaldulensis) in semi-arid Australia</t>
  </si>
  <si>
    <t xml:space="preserve">Biological Conservation, 184, 346-356</t>
  </si>
  <si>
    <t xml:space="preserve">10.1016/j.biocon.2015.02.014</t>
  </si>
  <si>
    <t xml:space="preserve">https://doi.org/10.1016/j.biocon.2015.02.014</t>
  </si>
  <si>
    <t xml:space="preserve">Macquarie Marshes, NSW (UNSW/Kingsford)</t>
  </si>
  <si>
    <t xml:space="preserve">Inundation frequency/duration thresholds for red gum persistence &amp; recovery</t>
  </si>
  <si>
    <t xml:space="preserve">Directly relevant Kingsford/Bino paper quantifying how much inundation red gums need. Essential for interpreting treed-plot inundation change and for the flooding-to-vegetation causal chain at Gayini.</t>
  </si>
  <si>
    <t xml:space="preserve">Web verified 2026-07-07 (UNSW pubs; Biol Conserv)</t>
  </si>
  <si>
    <t xml:space="preserve">ECO-FP-003</t>
  </si>
  <si>
    <t xml:space="preserve">Red gum drought &amp; flooding response</t>
  </si>
  <si>
    <t xml:space="preserve">Doody, T. M.; Benger, S. N.; Pritchard, J. L.; Overton, I. C.</t>
  </si>
  <si>
    <t xml:space="preserve">Ecological response of Eucalyptus camaldulensis (river red gum) to extended drought and flooding along the River Murray, South Australia (1997-2011) and implications for environmental flow management</t>
  </si>
  <si>
    <t xml:space="preserve">Marine and Freshwater Research, 65(12), 1082-1093</t>
  </si>
  <si>
    <t xml:space="preserve">10.1071/MF13247</t>
  </si>
  <si>
    <t xml:space="preserve">https://doi.org/10.1071/MF13247</t>
  </si>
  <si>
    <t xml:space="preserve">River Murray, SA</t>
  </si>
  <si>
    <t xml:space="preserve">Long-term red gum condition through drought and flood; environmental-flow implications</t>
  </si>
  <si>
    <t xml:space="preserve">Complements Catelotti: multi-year red gum condition trajectory through the Millennium Drought and subsequent flooding. Supports lagged, community-dependent vegetation response interpretation.</t>
  </si>
  <si>
    <t xml:space="preserve">Web verified 2026-07-07 (CSIRO publish.csiro.au/mf/MF13247): DOI 10.1071/MF13247 confirmed; 65(12) 1082-1093</t>
  </si>
  <si>
    <t xml:space="preserve">ECO-FP-004</t>
  </si>
  <si>
    <t xml:space="preserve">State-and-transition (inundation)</t>
  </si>
  <si>
    <t xml:space="preserve">Developing state and transition models of floodplain vegetation dynamics as a tool for conservation decision-making: a case study of the Macquarie Marshes Ramsar wetland</t>
  </si>
  <si>
    <t xml:space="preserve">Journal of Applied Ecology, 52(3), 654-664</t>
  </si>
  <si>
    <t xml:space="preserve">Inundation-driven vegetation state transitions; thresholds</t>
  </si>
  <si>
    <t xml:space="preserve">Kingsford/Bino state-transition framework linking inundation regime to vegetation-community change. Supports moving the Gayini story from RS change toward ecological interpretation. (Duplicate-checks ECO-WET-004 which is the same paper - consider merging.)</t>
  </si>
  <si>
    <t xml:space="preserve">Should cite (DUPLICATE of ECO-WET-004 - merge)</t>
  </si>
  <si>
    <t xml:space="preserve">Web verified 2026-07-07 (BES JAppEcol) | NOTE: same paper as ECO-WET-004 (Bino et al. 2015, JAppEcol) - keep one row only.</t>
  </si>
  <si>
    <t xml:space="preserve">ECO-FP-005</t>
  </si>
  <si>
    <t xml:space="preserve">Mega-drought vegetation resilience</t>
  </si>
  <si>
    <t xml:space="preserve">Capon, S. J.; Reid, M. A.</t>
  </si>
  <si>
    <t xml:space="preserve">Vegetation resilience to mega-drought along a typical floodplain gradient of the southern Murray-Darling Basin, Australia</t>
  </si>
  <si>
    <t xml:space="preserve">Journal of Vegetation Science, 27(5), 926-937</t>
  </si>
  <si>
    <t xml:space="preserve">10.1111/jvs.12426</t>
  </si>
  <si>
    <t xml:space="preserve">https://doi.org/10.1111/jvs.12426</t>
  </si>
  <si>
    <t xml:space="preserve">Southern Murray-Darling Basin, Australia</t>
  </si>
  <si>
    <t xml:space="preserve">Understorey/community resilience to drought along floodplain gradient</t>
  </si>
  <si>
    <t xml:space="preserve">Southern-MDB evidence that understorey vegetation is resilient and responds quickly to hydrological input - context for why ground-cover change at Gayini is modest and variable rather than a clean step response. DOI to reconfirm.</t>
  </si>
  <si>
    <t xml:space="preserve">Title/journal/vol web-verified 2026-07-07 via citing papers (JVS 27(5) 926-937). DOI 10.1111/jvs.12426 NOT independently confirmed - verify before final citation.</t>
  </si>
  <si>
    <t xml:space="preserve">SPAT-001</t>
  </si>
  <si>
    <t xml:space="preserve">Spatial regression / non-stationarity</t>
  </si>
  <si>
    <t xml:space="preserve">GWR foundational text</t>
  </si>
  <si>
    <t xml:space="preserve">Fotheringham, A. S.; Brunsdon, C.; Charlton, M.</t>
  </si>
  <si>
    <t xml:space="preserve">Geographically Weighted Regression: The Analysis of Spatially Varying Relationships</t>
  </si>
  <si>
    <t xml:space="preserve">Wiley, Chichester (book)</t>
  </si>
  <si>
    <t xml:space="preserve">https://www.wiley.com/en-au/Geographically+Weighted+Regression-p-9780471496168</t>
  </si>
  <si>
    <t xml:space="preserve">UK / general method</t>
  </si>
  <si>
    <t xml:space="preserve">F6-F9: local regression; spatially varying coefficients</t>
  </si>
  <si>
    <t xml:space="preserve">The GWR textbook. Cite as the primary reference for why a single global regression is wrong here and how local (moving-window kernel) regression estimates coefficients that vary by location - exactly the non-stationarity issue Adrian raised. Book, no DOI.</t>
  </si>
  <si>
    <t xml:space="preserve">Foundational textbook</t>
  </si>
  <si>
    <t xml:space="preserve">Should cite (method)</t>
  </si>
  <si>
    <t xml:space="preserve">Web verified 2026-07-08 (Wiley)</t>
  </si>
  <si>
    <t xml:space="preserve">SPAT-002</t>
  </si>
  <si>
    <t xml:space="preserve">GWR for NDVI-rainfall (RS)</t>
  </si>
  <si>
    <t xml:space="preserve">Foody, G. M.</t>
  </si>
  <si>
    <t xml:space="preserve">Geographical weighting as a further refinement to regression modelling: an example focused on the NDVI-rainfall relationship</t>
  </si>
  <si>
    <t xml:space="preserve">Remote Sensing of Environment, 88(3), 283-293</t>
  </si>
  <si>
    <t xml:space="preserve">10.1016/j.rse.2003.08.004</t>
  </si>
  <si>
    <t xml:space="preserve">https://doi.org/10.1016/j.rse.2003.08.004</t>
  </si>
  <si>
    <t xml:space="preserve">Sahel / satellite NDVI</t>
  </si>
  <si>
    <t xml:space="preserve">F6-F7: GWR on a veg-vs-water relationship in RS</t>
  </si>
  <si>
    <t xml:space="preserve">Canonical RS precedent: GWR applied to the vegetation-vs-rainfall relationship, showing global OLS misplaces the signal where the relationship is non-stationary. Closest analogue to the Gayini inundation-vs-vegetation regression. Best single method citation for the deck.</t>
  </si>
  <si>
    <t xml:space="preserve">Web verified 2026-07-08 (RSE)</t>
  </si>
  <si>
    <t xml:space="preserve">SPAT-003</t>
  </si>
  <si>
    <t xml:space="preserve">GWR for predictive veg surfaces</t>
  </si>
  <si>
    <t xml:space="preserve">Kupfer, J. A.; Farris, C. A.</t>
  </si>
  <si>
    <t xml:space="preserve">Incorporating spatial non-stationarity of regression coefficients into predictive vegetation models</t>
  </si>
  <si>
    <t xml:space="preserve">Landscape Ecology, 22(6), 837-852</t>
  </si>
  <si>
    <t xml:space="preserve">10.1007/s10980-006-9058-2</t>
  </si>
  <si>
    <t xml:space="preserve">https://doi.org/10.1007/s10980-006-9058-2</t>
  </si>
  <si>
    <t xml:space="preserve">Arizona, USA</t>
  </si>
  <si>
    <t xml:space="preserve">F7-F9: GWR to produce a predictive vegetation surface</t>
  </si>
  <si>
    <t xml:space="preserve">Directly on point for Phase D: uses GWR (vs OLS) to build a continuous predicted-vegetation surface from environmental predictors incl. fire history. Template for turning local regressions into a mapped surface with location-specific coefficients.</t>
  </si>
  <si>
    <t xml:space="preserve">Web verified 2026-07-08 (Landscape Ecol)</t>
  </si>
  <si>
    <t xml:space="preserve">SPAT-004</t>
  </si>
  <si>
    <t xml:space="preserve">GWR spatial prediction eval</t>
  </si>
  <si>
    <t xml:space="preserve">Harris, P.; Fotheringham, A. S.; Crespo, R.; Charlton, M.</t>
  </si>
  <si>
    <t xml:space="preserve">The use of geographically weighted regression for spatial prediction: an evaluation of models using simulated data sets</t>
  </si>
  <si>
    <t xml:space="preserve">Mathematical Geosciences, 42(6), 657-680</t>
  </si>
  <si>
    <t xml:space="preserve">10.1007/s11004-010-9284-7</t>
  </si>
  <si>
    <t xml:space="preserve">https://doi.org/10.1007/s11004-010-9284-7</t>
  </si>
  <si>
    <t xml:space="preserve">Simulated / general</t>
  </si>
  <si>
    <t xml:space="preserve">F9: GWR as a spatial predictor (surface) vs kriging</t>
  </si>
  <si>
    <t xml:space="preserve">Evaluates GWR specifically as a spatial-prediction / surface-generation tool against geostatistical alternatives. Supports the choice (or not) of GWR for the F9 probability surface, with honest performance comparison.</t>
  </si>
  <si>
    <t xml:space="preserve">Web verified 2026-07-08 (Math Geosci)</t>
  </si>
  <si>
    <t xml:space="preserve">SPAT-005</t>
  </si>
  <si>
    <t xml:space="preserve">Multiscale GWR (different scales per process)</t>
  </si>
  <si>
    <t xml:space="preserve">Fotheringham, A. S.; Yang, W.; Kang, W.</t>
  </si>
  <si>
    <t xml:space="preserve">Multiscale Geographically Weighted Regression (MGWR)</t>
  </si>
  <si>
    <t xml:space="preserve">Annals of the American Association of Geographers, 107(6), 1247-1265</t>
  </si>
  <si>
    <t xml:space="preserve">10.1080/24694452.2017.1352480</t>
  </si>
  <si>
    <t xml:space="preserve">https://doi.org/10.1080/24694452.2017.1352480</t>
  </si>
  <si>
    <t xml:space="preserve">General method</t>
  </si>
  <si>
    <t xml:space="preserve">F6-F9: process-specific spatial scales (bandwidths)</t>
  </si>
  <si>
    <t xml:space="preserve">Key extension: lets each driver operate at its own spatial scale (bandwidth) - important because inundation and vegetation-response processes almost certainly act at different scales at Gayini. Use MGWR rather than single-bandwidth GWR if scale differs by process.</t>
  </si>
  <si>
    <t xml:space="preserve">Web verified 2026-07-08 (Annals AAG)</t>
  </si>
  <si>
    <t xml:space="preserve">SPAT-006</t>
  </si>
  <si>
    <t xml:space="preserve">GWR collinearity caution</t>
  </si>
  <si>
    <t xml:space="preserve">Wheeler, D.; Tiefelsdorf, M.</t>
  </si>
  <si>
    <t xml:space="preserve">Multicollinearity and correlation among local regression coefficients in geographically weighted regression</t>
  </si>
  <si>
    <t xml:space="preserve">Journal of Geographical Systems, 7(2), 161-187</t>
  </si>
  <si>
    <t xml:space="preserve">10.1007/s10109-005-0155-6</t>
  </si>
  <si>
    <t xml:space="preserve">https://doi.org/10.1007/s10109-005-0155-6</t>
  </si>
  <si>
    <t xml:space="preserve">Caveat: local collinearity, unstable coefficients</t>
  </si>
  <si>
    <t xml:space="preserve">Essential caveat citation: GWR coefficient surfaces can be unstable/collinear and over-interpreted. Cite to show the team is aware of the inferential pitfalls - reviewers of a GWR paper will expect it. Pair with SPAT-007 (rebuttal).</t>
  </si>
  <si>
    <t xml:space="preserve">Should cite (caveat)</t>
  </si>
  <si>
    <t xml:space="preserve">Web verified 2026-07-08 (J Geog Syst)</t>
  </si>
  <si>
    <t xml:space="preserve">SPAT-007</t>
  </si>
  <si>
    <t xml:space="preserve">GWR collinearity rebuttal</t>
  </si>
  <si>
    <t xml:space="preserve">Fotheringham, A. S.; Oshan, T. M.</t>
  </si>
  <si>
    <t xml:space="preserve">Geographically weighted regression and multicollinearity: dispelling the myth</t>
  </si>
  <si>
    <t xml:space="preserve">Journal of Geographical Systems, 18(4), 303-329</t>
  </si>
  <si>
    <t xml:space="preserve">10.1007/s10109-016-0239-5</t>
  </si>
  <si>
    <t xml:space="preserve">https://doi.org/10.1007/s10109-016-0239-5</t>
  </si>
  <si>
    <t xml:space="preserve">Caveat balance: collinearity less severe with larger n</t>
  </si>
  <si>
    <t xml:space="preserve">Balancing citation to SPAT-006: argues collinearity is less damaging than claimed when sample sizes are adequate. Together they let the team make an even-handed methods-justification for the GWR choice.</t>
  </si>
  <si>
    <t xml:space="preserve">SPAT-008</t>
  </si>
  <si>
    <t xml:space="preserve">GTWR (space + time)</t>
  </si>
  <si>
    <t xml:space="preserve">Huang, B.; Wu, B.; Barry, M.</t>
  </si>
  <si>
    <t xml:space="preserve">Geographically and temporally weighted regression for modeling spatio-temporal variation in house prices</t>
  </si>
  <si>
    <t xml:space="preserve">International Journal of Geographical Information Science, 24(3), 383-401</t>
  </si>
  <si>
    <t xml:space="preserve">10.1080/13658810802672469</t>
  </si>
  <si>
    <t xml:space="preserve">https://doi.org/10.1080/13658810802672469</t>
  </si>
  <si>
    <t xml:space="preserve">General method (origin: real estate)</t>
  </si>
  <si>
    <t xml:space="preserve">F6/F8: spatially AND temporally varying regression</t>
  </si>
  <si>
    <t xml:space="preserve">Foundational GTWR paper: adds a time dimension to GWR so coefficients vary over space and time. Relevant because Gayini's question is a 35-year trend, not a snapshot - GTWR is the natural form if a trend surface is pursued. Origin is real-estate but method is domain-general.</t>
  </si>
  <si>
    <t xml:space="preserve">Web verified 2026-07-08 (IJGIS)</t>
  </si>
  <si>
    <t xml:space="preserve">SPAT-009</t>
  </si>
  <si>
    <t xml:space="preserve">GTWR + BFAST on veg trends (RS)</t>
  </si>
  <si>
    <t xml:space="preserve">Yang, L.; Guan, Q.; Lin, J.; Tian, J.; Tan, Z.; Li, H.</t>
  </si>
  <si>
    <t xml:space="preserve">Evolution of NDVI secular trends and responses to climate change: a perspective from nonlinearity and nonstationarity characteristics</t>
  </si>
  <si>
    <t xml:space="preserve">Remote Sensing of Environment, 254, 112183</t>
  </si>
  <si>
    <t xml:space="preserve">10.1016/j.rse.2020.112183</t>
  </si>
  <si>
    <t xml:space="preserve">https://doi.org/10.1016/j.rse.2020.112183</t>
  </si>
  <si>
    <t xml:space="preserve">Hexi Corridor, China (drylands)</t>
  </si>
  <si>
    <t xml:space="preserve">F6-F7: BFAST for breakpoints + GTWR for driver relationship</t>
  </si>
  <si>
    <t xml:space="preserve">Best applied analogue to the whole Phase C-D pipeline: combines BFAST-style trend/break diagnosis with GTWR to handle spatiotemporal non-stationarity of climate-vegetation drivers in a dryland. Shows the exact tool-chain the deck is converging on. NOTE: confirm full author list/vol before final citation.</t>
  </si>
  <si>
    <t xml:space="preserve">Web verified 2026-07-08 (ScienceDirect): authors corrected to Yang et al. (not Zhao); RSE 2020, DOI 10.1016/j.rse.2020.112183 - reconfirm vol/page on publisher page</t>
  </si>
  <si>
    <t xml:space="preserve">SPAT-010</t>
  </si>
  <si>
    <t xml:space="preserve">Spatial regression / software &amp; guidance</t>
  </si>
  <si>
    <t xml:space="preserve">GWR decision route-map</t>
  </si>
  <si>
    <t xml:space="preserve">Comber, A.; Brunsdon, C.; Charlton, M.; Dong, G.; Harris, R.; Lu, B.; et al.</t>
  </si>
  <si>
    <t xml:space="preserve">A route map for successful applications of geographically weighted regression</t>
  </si>
  <si>
    <t xml:space="preserve">Geographical Analysis, 55(1), 155-178</t>
  </si>
  <si>
    <t xml:space="preserve">10.1111/gean.12316</t>
  </si>
  <si>
    <t xml:space="preserve">https://doi.org/10.1111/gean.12316</t>
  </si>
  <si>
    <t xml:space="preserve">General method / guidance</t>
  </si>
  <si>
    <t xml:space="preserve">Decision guide: whether to use GWR, and which variant</t>
  </si>
  <si>
    <t xml:space="preserve">The practical decision guide: when to use GWR vs mixed vs multiscale GWR, and how to avoid the common mistakes. Directly answers the 'off-the-shelf, don't develop method' constraint - follow this workflow rather than inventing one.</t>
  </si>
  <si>
    <t xml:space="preserve">Must cite (workflow)</t>
  </si>
  <si>
    <t xml:space="preserve">Web verified 2026-07-08 (Geographical Analysis)</t>
  </si>
  <si>
    <t xml:space="preserve">SPAT-011</t>
  </si>
  <si>
    <t xml:space="preserve">GWmodel R package</t>
  </si>
  <si>
    <t xml:space="preserve">Gollini, I.; Lu, B.; Charlton, M.; Brunsdon, C.; Harris, P.</t>
  </si>
  <si>
    <t xml:space="preserve">GWmodel: an R package for exploring spatial heterogeneity using geographically weighted models</t>
  </si>
  <si>
    <t xml:space="preserve">Journal of Statistical Software, 63(17), 1-50</t>
  </si>
  <si>
    <t xml:space="preserve">10.18637/jss.v063.i17</t>
  </si>
  <si>
    <t xml:space="preserve">https://doi.org/10.18637/jss.v063.i17</t>
  </si>
  <si>
    <t xml:space="preserve">Software (R)</t>
  </si>
  <si>
    <t xml:space="preserve">Implementation: off-the-shelf GWR/robust GWR in R</t>
  </si>
  <si>
    <t xml:space="preserve">Off-the-shelf R implementation (GWmodel) covering standard, robust and multiscale GWR plus diagnostics. Cite as the software the analysis would actually run on - no bespoke method build required.</t>
  </si>
  <si>
    <t xml:space="preserve">Peer-reviewed software paper</t>
  </si>
  <si>
    <t xml:space="preserve">Should cite (tool)</t>
  </si>
  <si>
    <t xml:space="preserve">Web verified 2026-07-08 (JSS)</t>
  </si>
  <si>
    <t xml:space="preserve">SPAT-012</t>
  </si>
  <si>
    <t xml:space="preserve">MGWR Python implementation</t>
  </si>
  <si>
    <t xml:space="preserve">Oshan, T. M.; Li, Z.; Kang, W.; Wolf, L. J.; Fotheringham, A. S.</t>
  </si>
  <si>
    <t xml:space="preserve">mgwr: a Python implementation of multiscale geographically weighted regression for investigating process spatial heterogeneity and scale</t>
  </si>
  <si>
    <t xml:space="preserve">ISPRS International Journal of Geo-Information, 8(6), 269</t>
  </si>
  <si>
    <t xml:space="preserve">10.3390/ijgi8060269</t>
  </si>
  <si>
    <t xml:space="preserve">https://doi.org/10.3390/ijgi8060269</t>
  </si>
  <si>
    <t xml:space="preserve">Software (Python)</t>
  </si>
  <si>
    <t xml:space="preserve">Implementation: MGWR + inference + local collinearity diagnostics</t>
  </si>
  <si>
    <t xml:space="preserve">Off-the-shelf Python implementation (mgwr) with MGWR, corrected inference and local-collinearity diagnostics. The Python-stack alternative to GWmodel; pairs with the project's existing Python tooling.</t>
  </si>
  <si>
    <t xml:space="preserve">Web verified 2026-07-08 (ISPRS IJGI)</t>
  </si>
  <si>
    <t xml:space="preserve">FLOOD-001</t>
  </si>
  <si>
    <t xml:space="preserve">Flood-probability surface</t>
  </si>
  <si>
    <t xml:space="preserve">Continuous flood-probability interpolation</t>
  </si>
  <si>
    <t xml:space="preserve">Zarekarizi, M.; Roop-Eckart, K. J.; Sharma, S.; Keller, K. (see note)</t>
  </si>
  <si>
    <t xml:space="preserve">FLOPIT: improving spatial flood probability quantification and communication through higher-resolution mapping</t>
  </si>
  <si>
    <t xml:space="preserve">(preprint / EarthArXiv; check journal version)</t>
  </si>
  <si>
    <t xml:space="preserve">https://arxiv.org/abs/2012.10590</t>
  </si>
  <si>
    <t xml:space="preserve">USA / flood risk</t>
  </si>
  <si>
    <t xml:space="preserve">F9: continuous probability-of-flood surface (actuarial)</t>
  </si>
  <si>
    <t xml:space="preserve">Directly validates the F9 end-product concept: interpolating a continuous flood-probability surface (rather than discrete zones) for actuarial rate-setting and communication. Supports 'probability-of-inundation surface' framing. NOTE: confirm authors + final published venue/DOI before citing.</t>
  </si>
  <si>
    <t xml:space="preserve">Preprint / tool</t>
  </si>
  <si>
    <t xml:space="preserve">Supporting citation (concept)</t>
  </si>
  <si>
    <t xml:space="preserve">Web verified 2026-07-08 (EarthArXiv/arXiv); venue+DOI to confirm</t>
  </si>
  <si>
    <t xml:space="preserve">FLOOD-002</t>
  </si>
  <si>
    <t xml:space="preserve">MDB flood recurrence-interval surfaces</t>
  </si>
  <si>
    <t xml:space="preserve">(see note - CSIRO team)</t>
  </si>
  <si>
    <t xml:space="preserve">Floodplain inundation in the Murray-Darling Basin under current and future climate conditions</t>
  </si>
  <si>
    <t xml:space="preserve">Scientific Reports, 15</t>
  </si>
  <si>
    <t xml:space="preserve">10.1038/s41598-025-93670-6</t>
  </si>
  <si>
    <t xml:space="preserve">https://doi.org/10.1038/s41598-025-93670-6</t>
  </si>
  <si>
    <t xml:space="preserve">Murray-Darling Basin, Australia (CSIRO)</t>
  </si>
  <si>
    <t xml:space="preserve">F8-F9: average-recurrence-interval (ARI) inundation surfaces from Landsat</t>
  </si>
  <si>
    <t xml:space="preserve">Australian precedent for the F9 output: derives flood average-recurrence-interval (ARI) surfaces across the MDB from 35 yrs of Landsat, with hydrological drivers. Shows the recurrence/return-period framing is standard here and gives a basin-scale context layer. NOTE: confirm lead authors before final citation.</t>
  </si>
  <si>
    <t xml:space="preserve">Web verified 2026-07-08 (Sci Rep); authors to confirm</t>
  </si>
  <si>
    <t xml:space="preserve">FLOOD-003</t>
  </si>
  <si>
    <t xml:space="preserve">MDB water-depth calibration dataset</t>
  </si>
  <si>
    <t xml:space="preserve">Teng, J.; Penton, D. J.; et al. (see note)</t>
  </si>
  <si>
    <t xml:space="preserve">The floodplain inundation history of the Murray-Darling Basin through two-monthly maximum water depth maps</t>
  </si>
  <si>
    <t xml:space="preserve">Scientific Data, 10, 651</t>
  </si>
  <si>
    <t xml:space="preserve">10.1038/s41597-023-02559-4</t>
  </si>
  <si>
    <t xml:space="preserve">https://doi.org/10.1038/s41597-023-02559-4</t>
  </si>
  <si>
    <t xml:space="preserve">Calibration layer: 30 m, 1988-2022 max water-depth time series</t>
  </si>
  <si>
    <t xml:space="preserve">Ready-made CSIRO calibration/context dataset: two-monthly maximum floodwater depth at ~30 m, 1988-2022, MDB-wide (DOI 10.25919/c5ab-h019 for the data). Pairs with NSW DCCEEW gauge/flood-mapping as the calibration data Adrian flagged. NOTE: confirm full author list.</t>
  </si>
  <si>
    <t xml:space="preserve">Peer-reviewed data descriptor</t>
  </si>
  <si>
    <t xml:space="preserve">Should cite (data)</t>
  </si>
  <si>
    <t xml:space="preserve">Web verified 2026-07-08 (Sci Data); authors to confirm</t>
  </si>
  <si>
    <t xml:space="preserve">Gayini references dashboard</t>
  </si>
  <si>
    <t xml:space="preserve">Total references</t>
  </si>
  <si>
    <t xml:space="preserve">Must-cite / should-cite rows</t>
  </si>
  <si>
    <t xml:space="preserve">Candidate/follow-up</t>
  </si>
  <si>
    <t xml:space="preserve">Primary method stance</t>
  </si>
  <si>
    <t xml:space="preserve">Pre/post inundation and ground-cover summaries first; BFAST/tbreak only after QA, coverage, lag and regularity diagnostics.</t>
  </si>
  <si>
    <t xml:space="preserve">Theme</t>
  </si>
  <si>
    <t xml:space="preserve">Count</t>
  </si>
  <si>
    <t xml:space="preserve">Key method relevance</t>
  </si>
  <si>
    <t xml:space="preserve">Priority</t>
  </si>
  <si>
    <t xml:space="preserve">David/Jana/ground survey context and grazing-treatment caution</t>
  </si>
  <si>
    <t xml:space="preserve">JRSRP/DEA fractional cover, PV/NPV/bare, woody-cover caveats</t>
  </si>
  <si>
    <t xml:space="preserve">Internal Gayini method decisions and QA staging</t>
  </si>
  <si>
    <t xml:space="preserve">Landsat/Sentinel comparability and common-grid caveats</t>
  </si>
  <si>
    <t xml:space="preserve">R package/software citations</t>
  </si>
  <si>
    <t xml:space="preserve">BFAST/tbreak go/no-go and alternative segmentation methods</t>
  </si>
  <si>
    <t xml:space="preserve">Spectral-index background for water classification</t>
  </si>
  <si>
    <t xml:space="preserve">Annual occurrence, wet/valid denominators, floodplain wetland water mapping</t>
  </si>
  <si>
    <t xml:space="preserve">Kingsford/Murrumbidgee/MDB ecological context</t>
  </si>
  <si>
    <t xml:space="preserve">Note: status counts computed at build time. Full register contains 73 references. Candidate/follow-up rows verified 2026-07-07: 9 of 10 resolved (metadata/DOIs corrected in Reference_Register); DRY-008 remains a preprint pending peer review.</t>
  </si>
  <si>
    <t xml:space="preserve">Reference set expanded 2026-07-07 (+16 rows -&gt; 89 refs): added attribution/climate-vs-management (RESTREND, RUE, TSS-RESTREND), ENSO/climate-variability, rainfall-controlled RS of AUS floodplain vegetation, and flood-pulse ecology. Prioritised AUS/southern-hemisphere sources.</t>
  </si>
  <si>
    <t xml:space="preserve">Spatial-science expansion 2026-07-08 (+15 rows -&gt; 104 refs): added GWR/MGWR/GTWR (spatial non-stationarity, local regression), off-the-shelf software (GWmodel R, mgwr Python) + Comber route-map decision guide, plus flood-probability-surface / ARI lineage and CSIRO MDB water-depth calibration data. Supports ladder Phase C-D (F6-F9).</t>
  </si>
  <si>
    <t xml:space="preserve">authors_year</t>
  </si>
  <si>
    <t xml:space="preserve">why_read_first</t>
  </si>
  <si>
    <t xml:space="preserve">Gayini project team / Hugh Burley (2026)</t>
  </si>
  <si>
    <t xml:space="preserve">Fisher, A.; Flood, N.; Danaher, T. (2016)</t>
  </si>
  <si>
    <t xml:space="preserve">Mueller, N.; Lewis, A.; Roberts, D.; Ring, S.; Melrose, R.; Sixsmith, J.; Lymburner, L.; McIntyre, A.; Tan, P.; Curnow, S.; Ip, A. (2016)</t>
  </si>
  <si>
    <t xml:space="preserve">Digital Earth Australia / Geoscience Australia (2026)</t>
  </si>
  <si>
    <t xml:space="preserve">Digital Earth Australia / Geoscience Australia (2025)</t>
  </si>
  <si>
    <t xml:space="preserve">NSW DCCEEW / SEED (2025)</t>
  </si>
  <si>
    <t xml:space="preserve">Thomas, R. F.; Kingsford, R. T.; Lu, Y.; Cox, S. J.; Sims, N. C.; Hunter, S. J. (2015)</t>
  </si>
  <si>
    <t xml:space="preserve">Thomas, R. F.; Kingsford, R. T.; Lu, Y.; Hunter, S. J. (2011)</t>
  </si>
  <si>
    <t xml:space="preserve">Frazier, P.; Page, K. (2006)</t>
  </si>
  <si>
    <t xml:space="preserve">Frazier, P.; Page, K.; Louis, J.; Briggs, S.; Robertson, A. I. (2003)</t>
  </si>
  <si>
    <t xml:space="preserve">Overton, I. C. (2005)</t>
  </si>
  <si>
    <t xml:space="preserve">Ticehurst, C.; Teng, J.; Sengupta, A.; et al. (2022)</t>
  </si>
  <si>
    <t xml:space="preserve">Pekel, J.-F.; Cottam, A.; Gorelick, N.; Belward, A. S. (2016)</t>
  </si>
  <si>
    <t xml:space="preserve">Tulbure, M. G.; Broich, M.; Stehman, S. V.; Kommareddy, A. (2016)</t>
  </si>
  <si>
    <t xml:space="preserve">Ozesmi, S. L.; Bauer, M. E. (2002)</t>
  </si>
  <si>
    <t xml:space="preserve">Davranche, A.; Lefebvre, G.; Poulin, B. (2010)</t>
  </si>
  <si>
    <t xml:space="preserve">DeVries, B.; Huang, C.; Lang, M. W.; Jones, J. W.; Huang, W.; Creed, I. F.; Carroll, M. L. (2017)</t>
  </si>
  <si>
    <t xml:space="preserve">McFeeters, S. K. (1996)</t>
  </si>
  <si>
    <t xml:space="preserve">Xu, H. (2006)</t>
  </si>
  <si>
    <t xml:space="preserve">NASA / USGS LP DAAC (2026)</t>
  </si>
  <si>
    <t xml:space="preserve">Joint Remote Sensing Research Program (2021)</t>
  </si>
  <si>
    <t xml:space="preserve">Sutton, A.; et al. (2022)</t>
  </si>
  <si>
    <t xml:space="preserve">Muir, J.; Schmidt, M.; Tindall, D.; Trevithick, R.; Scarth, P.; Stewart, J. B. (2011)</t>
  </si>
  <si>
    <t xml:space="preserve">Schmidt, M.; Denham, R.; Scarth, P. (2010)</t>
  </si>
  <si>
    <t xml:space="preserve">Scarth, P.; Roder, A.; Schmidt, M. (2010)</t>
  </si>
  <si>
    <t xml:space="preserve">Gill, T.; Johansen, K.; Phinn, S.; Trevithick, R.; Scarth, P.; Armston, J. (2017)</t>
  </si>
  <si>
    <t xml:space="preserve">Verbesselt, J.; Hyndman, R.; Newnham, G.; Culvenor, D. (2010)</t>
  </si>
  <si>
    <t xml:space="preserve">Verbesselt, J.; Hyndman, R.; Zeileis, A.; Culvenor, D. (2010)</t>
  </si>
  <si>
    <t xml:space="preserve">BFAST project / CRAN (2026)</t>
  </si>
  <si>
    <t xml:space="preserve">Laffan, S. W. / biogeospatial (2026)</t>
  </si>
  <si>
    <t xml:space="preserve">Steinfeld, C. M. M.; Kingsford, R. T. (2013)</t>
  </si>
  <si>
    <t xml:space="preserve">https://doi.org/10.1002/rra.1593</t>
  </si>
  <si>
    <t xml:space="preserve">Steinfeld, C. M. M.; Kingsford, R. T.; Laffan, S. W. (2013)</t>
  </si>
  <si>
    <t xml:space="preserve">https://doi.org/10.1002/hyp.9239</t>
  </si>
  <si>
    <t xml:space="preserve">Eldridge, D. J.; Oliver, I.; Val, J.; Travers, S. K. (2020)</t>
  </si>
  <si>
    <t xml:space="preserve">Baston, D. (2024)</t>
  </si>
  <si>
    <t xml:space="preserve">Hijmans, R. J. (2026)</t>
  </si>
  <si>
    <t xml:space="preserve">Pebesma, E. (2018)</t>
  </si>
  <si>
    <t xml:space="preserve">method_component</t>
  </si>
  <si>
    <t xml:space="preserve">rationale</t>
  </si>
  <si>
    <t xml:space="preserve">primary_refs</t>
  </si>
  <si>
    <t xml:space="preserve">secondary_refs</t>
  </si>
  <si>
    <t xml:space="preserve">draft_citation_use</t>
  </si>
  <si>
    <t xml:space="preserve">Project framing and staged QA</t>
  </si>
  <si>
    <t xml:space="preserve">We need explicit decision logs because BFAST/tbreak is conditional, not automatic.</t>
  </si>
  <si>
    <t xml:space="preserve">GAY-001; GAY-002; GAY-003</t>
  </si>
  <si>
    <t xml:space="preserve">TS-001; TS-002</t>
  </si>
  <si>
    <t xml:space="preserve">Methods introduction; workflow rationale</t>
  </si>
  <si>
    <t xml:space="preserve">Seasonal ground cover / fractional cover</t>
  </si>
  <si>
    <t xml:space="preserve">Band mapping and NoData treatment must follow authoritative JRSRP metadata.</t>
  </si>
  <si>
    <t xml:space="preserve">AUS-GC-001; AUS-GC-002; AUS-GC-003</t>
  </si>
  <si>
    <t xml:space="preserve">AUS-GC-004; AUS-GC-005; AUS-GC-006; AUS-GC-007</t>
  </si>
  <si>
    <t xml:space="preserve">Ground-cover data description</t>
  </si>
  <si>
    <t xml:space="preserve">Total vegetation and bare-ground response</t>
  </si>
  <si>
    <t xml:space="preserve">Total vegetation = green + non-green is easier to interpret than green alone; bare ground is also ecologically meaningful.</t>
  </si>
  <si>
    <t xml:space="preserve">AUS-GC-001; AUS-GC-004; AUS-GC-007</t>
  </si>
  <si>
    <t xml:space="preserve">AUS-GC-014; AUS-GC-015</t>
  </si>
  <si>
    <t xml:space="preserve">Ground-cover response metrics</t>
  </si>
  <si>
    <t xml:space="preserve">Tree/red gum plot caveats</t>
  </si>
  <si>
    <t xml:space="preserve">Treed plots may confound ground-cover retrieval and interpretation.</t>
  </si>
  <si>
    <t xml:space="preserve">AUS-GC-008; AUS-GC-012; AUS-GC-009</t>
  </si>
  <si>
    <t xml:space="preserve">QA/caveats and sensitivity filtering</t>
  </si>
  <si>
    <t xml:space="preserve">Annual inundation occurrence</t>
  </si>
  <si>
    <t xml:space="preserve">Annual occurrence is wet/not-wet per valid water year, not hydroperiod/duration.</t>
  </si>
  <si>
    <t xml:space="preserve">AUS-WAT-002; AUS-WAT-003; AUS-WAT-004; INT-WAT-001</t>
  </si>
  <si>
    <t xml:space="preserve">GAY-002; INT-WAT-002</t>
  </si>
  <si>
    <t xml:space="preserve">Inundation raster method</t>
  </si>
  <si>
    <t xml:space="preserve">NSW floodplain wetland products</t>
  </si>
  <si>
    <t xml:space="preserve">Supplied NSW/Rachael Thomas-style products should be interpreted with wetlands-specific class logic.</t>
  </si>
  <si>
    <t xml:space="preserve">AUS-WAT-005; AUS-WAT-006; AUS-WAT-007</t>
  </si>
  <si>
    <t xml:space="preserve">Inundation product provenance</t>
  </si>
  <si>
    <t xml:space="preserve">Murrumbidgee/Lowbidgee hydrological context</t>
  </si>
  <si>
    <t xml:space="preserve">Gayini sits in a regulated floodplain/wetland landscape where hydrological recovery is the key management hypothesis.</t>
  </si>
  <si>
    <t xml:space="preserve">AUS-WAT-008; AUS-WAT-009; AUS-WAT-010</t>
  </si>
  <si>
    <t xml:space="preserve">ECO-WET-001; ECO-WET-002; ECO-WET-006</t>
  </si>
  <si>
    <t xml:space="preserve">Project context and interpretation</t>
  </si>
  <si>
    <t xml:space="preserve">Landsat/Sentinel harmonisation</t>
  </si>
  <si>
    <t xml:space="preserve">All-source rasters must be accompanied by sensor-specific outputs and denominator/density checks.</t>
  </si>
  <si>
    <t xml:space="preserve">HARM-002; HARM-003; INT-WAT-008</t>
  </si>
  <si>
    <t xml:space="preserve">AUS-WAT-004; GAY-002</t>
  </si>
  <si>
    <t xml:space="preserve">Sensor caveats / sensitivity runs</t>
  </si>
  <si>
    <t xml:space="preserve">Lag diagnostics</t>
  </si>
  <si>
    <t xml:space="preserve">Water is hypothesised to drive plant growth, but vegetation response may lag inundation.</t>
  </si>
  <si>
    <t xml:space="preserve">AUS-WAT-012; INT-WAT-002; AUS-GC-007</t>
  </si>
  <si>
    <t xml:space="preserve">Lag analysis method caveats</t>
  </si>
  <si>
    <t xml:space="preserve">BFAST/tbreak decision</t>
  </si>
  <si>
    <t xml:space="preserve">Run only after regularity/QA diagnostics justify formal break detection.</t>
  </si>
  <si>
    <t xml:space="preserve">TS-001; TS-002; TS-004; TS-005</t>
  </si>
  <si>
    <t xml:space="preserve">TS-006; TS-007; TS-008</t>
  </si>
  <si>
    <t xml:space="preserve">BFAST/tbreak methods section</t>
  </si>
  <si>
    <t xml:space="preserve">Grazing and ground ecology</t>
  </si>
  <si>
    <t xml:space="preserve">Limited grazing may have subtle/undetectable effects; field ecology context should temper claims.</t>
  </si>
  <si>
    <t xml:space="preserve">DRY-001; DRY-005; DRY-009</t>
  </si>
  <si>
    <t xml:space="preserve">DRY-002; DRY-003; DRY-004; DRY-006; DRY-008</t>
  </si>
  <si>
    <t xml:space="preserve">Interpretation/discussion</t>
  </si>
  <si>
    <t xml:space="preserve">Plot-to-landscape scaling</t>
  </si>
  <si>
    <t xml:space="preserve">Use functions that can take spatial unit as an argument: plot, paddock, pixel/grid cell.</t>
  </si>
  <si>
    <t xml:space="preserve">AUS-GC-015; TS-006; TOOLS-001</t>
  </si>
  <si>
    <t xml:space="preserve">TOOLS-002; TOOLS-003; INT-WAT-006</t>
  </si>
  <si>
    <t xml:space="preserve">Scaling methods / future work</t>
  </si>
  <si>
    <t xml:space="preserve">search_area</t>
  </si>
  <si>
    <t xml:space="preserve">query_or_source</t>
  </si>
  <si>
    <t xml:space="preserve">what_it_contributed</t>
  </si>
  <si>
    <t xml:space="preserve">source_url</t>
  </si>
  <si>
    <t xml:space="preserve">Uploaded docs</t>
  </si>
  <si>
    <t xml:space="preserve">Shift to pre/post conservation, JRSRP band mapping, BFAST deferral, tree plot caveats.</t>
  </si>
  <si>
    <t xml:space="preserve">uploaded file</t>
  </si>
  <si>
    <t xml:space="preserve">Annual occurrence method, water-year split, pre/post frequency, valid denominator, QA checks.</t>
  </si>
  <si>
    <t xml:space="preserve">Extraction status: 66 plots, 153 GC rasters, 35 annual inundation rasters, 247 daily inundation rasters; QA before BFAST.</t>
  </si>
  <si>
    <t xml:space="preserve">Uploaded spreadsheet</t>
  </si>
  <si>
    <t xml:space="preserve">Gayini_master_variable_and_output_register_20260615.xlsx</t>
  </si>
  <si>
    <t xml:space="preserve">Variable lookup, calculation logic, source notes.</t>
  </si>
  <si>
    <t xml:space="preserve">Gayini_presentation_and_workshop_plan_20260615.xlsx</t>
  </si>
  <si>
    <t xml:space="preserve">Presentation plan, questions, existing reference list, workflow.</t>
  </si>
  <si>
    <t xml:space="preserve">Web search</t>
  </si>
  <si>
    <t xml:space="preserve">Adrian Fisher Landsat water index methods</t>
  </si>
  <si>
    <t xml:space="preserve">Core RSE paper; DOI; eastern Australia water classification.</t>
  </si>
  <si>
    <t xml:space="preserve">JRSRP seasonal ground cover Landsat</t>
  </si>
  <si>
    <t xml:space="preserve">Authoritative band definitions and dataset citation.</t>
  </si>
  <si>
    <t xml:space="preserve">Peter Scarth Tony Gill JRSRP fractional cover woody vegetation</t>
  </si>
  <si>
    <t xml:space="preserve">Fractional-cover, woody-cover, and Scarth/Gill references.</t>
  </si>
  <si>
    <t xml:space="preserve">Richard Kingsford Landsat Macquarie Marshes inundation</t>
  </si>
  <si>
    <t xml:space="preserve">Thomas/Kingsford Journal of Hydrology and annual inundation papers.</t>
  </si>
  <si>
    <t xml:space="preserve">Murrumbidgee wetland inundation Frazier Page</t>
  </si>
  <si>
    <t xml:space="preserve">Direct Murrumbidgee river-regulation and Landsat-flow references.</t>
  </si>
  <si>
    <t xml:space="preserve">BFAST Remote Sensing of Environment</t>
  </si>
  <si>
    <t xml:space="preserve">Core BFAST RSE references and package documentation.</t>
  </si>
  <si>
    <t xml:space="preserve">David Eldridge arid ecology publications</t>
  </si>
  <si>
    <t xml:space="preserve">Grazing/dryland/soil-function references for interpretation caveats.</t>
  </si>
  <si>
    <t xml:space="preserve">Jana Stewart drone biocrust remote sensing</t>
  </si>
  <si>
    <t xml:space="preserve">Candidate Jana Stewart drone/biocrust reference and profile context.</t>
  </si>
  <si>
    <t xml:space="preserve">Status</t>
  </si>
  <si>
    <t xml:space="preserve">Evidence level</t>
  </si>
  <si>
    <t xml:space="preserve">Candidate / verify before final</t>
  </si>
  <si>
    <t xml:space="preserve">Follow-up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</si>
</sst>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14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FFFF"/>
      <name val="Arial"/>
      <family val="0"/>
      <charset val="1"/>
    </font>
    <font>
      <b val="true"/>
      <sz val="10"/>
      <color theme="1"/>
      <name val="Arial"/>
      <family val="0"/>
      <charset val="1"/>
    </font>
    <font>
      <sz val="11"/>
      <color theme="1"/>
      <name val="Arial"/>
      <family val="0"/>
      <charset val="1"/>
    </font>
    <font>
      <b val="true"/>
      <sz val="12"/>
      <color rgb="FFFFFFFF"/>
      <name val="Calibri"/>
      <family val="0"/>
      <charset val="1"/>
    </font>
    <font>
      <sz val="9"/>
      <color theme="1"/>
      <name val="Arial"/>
      <family val="0"/>
      <charset val="1"/>
    </font>
    <font>
      <sz val="11"/>
      <color theme="1"/>
      <name val="Calibri"/>
      <family val="0"/>
      <charset val="1"/>
    </font>
    <font>
      <b val="true"/>
      <sz val="10"/>
      <color rgb="FF000000"/>
      <name val="Calibri"/>
      <family val="0"/>
      <charset val="1"/>
    </font>
    <font>
      <sz val="12"/>
      <color rgb="FFFFFFFF"/>
      <name val="Calibri"/>
      <family val="0"/>
      <charset val="1"/>
    </font>
    <font>
      <b val="true"/>
      <sz val="10"/>
      <color rgb="FFFFFFFF"/>
      <name val="Calibri"/>
      <family val="0"/>
      <charset val="1"/>
    </font>
    <font>
      <sz val="11"/>
      <color rgb="FFFFFFFF"/>
      <name val="Calibri"/>
      <family val="0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9EAF7"/>
        <bgColor rgb="FFD9EAD3"/>
      </patternFill>
    </fill>
    <fill>
      <patternFill patternType="solid">
        <fgColor rgb="FFB7D7EA"/>
        <bgColor rgb="FF99CCFF"/>
      </patternFill>
    </fill>
    <fill>
      <patternFill patternType="solid">
        <fgColor rgb="FFEAF4FB"/>
        <bgColor rgb="FFD9EAF7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7" fillId="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9" fillId="3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9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0" fillId="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2" fillId="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B7D7EA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D9EAD3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FCE4D6"/>
          <bgColor rgb="FF000000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ill>
        <patternFill>
          <bgColor rgb="FFFCE4D6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9EAF7"/>
      <rgbColor rgb="FF660066"/>
      <rgbColor rgb="FFFF8080"/>
      <rgbColor rgb="FF0066CC"/>
      <rgbColor rgb="FFB7D7EA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AF4FB"/>
      <rgbColor rgb="FFD9EAD3"/>
      <rgbColor rgb="FFFFFF99"/>
      <rgbColor rgb="FF99CCFF"/>
      <rgbColor rgb="FFFF99CC"/>
      <rgbColor rgb="FFCC99FF"/>
      <rgbColor rgb="FFFCE4D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Table_1" displayName="Table_1" ref="A1:P74" headerRowCount="1" totalsRowCount="0" totalsRowShown="0">
  <tableColumns count="16">
    <tableColumn id="1" name="ref_id"/>
    <tableColumn id="2" name="priority"/>
    <tableColumn id="3" name="theme"/>
    <tableColumn id="4" name="subtheme"/>
    <tableColumn id="5" name="authors"/>
    <tableColumn id="6" name="year"/>
    <tableColumn id="7" name="title"/>
    <tableColumn id="8" name="journal_or_source"/>
    <tableColumn id="9" name="doi"/>
    <tableColumn id="10" name="url"/>
    <tableColumn id="11" name="geography"/>
    <tableColumn id="12" name="method_step"/>
    <tableColumn id="13" name="use_note"/>
    <tableColumn id="14" name="evidence_level"/>
    <tableColumn id="15" name="status"/>
    <tableColumn id="16" name="verified"/>
  </tableColumns>
</table>
</file>

<file path=xl/tables/table2.xml><?xml version="1.0" encoding="utf-8"?>
<table xmlns="http://schemas.openxmlformats.org/spreadsheetml/2006/main" id="2" name="Table_2" displayName="Table_2" ref="A1:G41" headerRowCount="1" totalsRowCount="0" totalsRowShown="0">
  <tableColumns count="7">
    <tableColumn id="1" name="ref_id"/>
    <tableColumn id="2" name="priority"/>
    <tableColumn id="3" name="theme"/>
    <tableColumn id="4" name="authors_year"/>
    <tableColumn id="5" name="title"/>
    <tableColumn id="6" name="why_read_first"/>
    <tableColumn id="7" name="url"/>
  </tableColumns>
</table>
</file>

<file path=xl/tables/table3.xml><?xml version="1.0" encoding="utf-8"?>
<table xmlns="http://schemas.openxmlformats.org/spreadsheetml/2006/main" id="3" name="Table_3" displayName="Table_3" ref="A1:E13" headerRowCount="1" totalsRowCount="0" totalsRowShown="0">
  <tableColumns count="5">
    <tableColumn id="1" name="method_component"/>
    <tableColumn id="2" name="rationale"/>
    <tableColumn id="3" name="primary_refs"/>
    <tableColumn id="4" name="secondary_refs"/>
    <tableColumn id="5" name="draft_citation_use"/>
  </tableColumns>
</table>
</file>

<file path=xl/tables/table4.xml><?xml version="1.0" encoding="utf-8"?>
<table xmlns="http://schemas.openxmlformats.org/spreadsheetml/2006/main" id="4" name="Table_4" displayName="Table_4" ref="A1:D14" headerRowCount="1" totalsRowCount="0" totalsRowShown="0">
  <tableColumns count="4">
    <tableColumn id="1" name="search_area"/>
    <tableColumn id="2" name="query_or_source"/>
    <tableColumn id="3" name="what_it_contributed"/>
    <tableColumn id="4" name="source_url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0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24"/>
    <col collapsed="false" customWidth="true" hidden="false" outlineLevel="0" max="2" min="2" style="1" width="90"/>
    <col collapsed="false" customWidth="true" hidden="false" outlineLevel="0" max="26" min="3" style="1" width="8.63"/>
  </cols>
  <sheetData>
    <row r="1" customFormat="false" ht="17.25" hidden="false" customHeight="true" outlineLevel="0" collapsed="false">
      <c r="A1" s="2" t="s">
        <v>0</v>
      </c>
      <c r="B1" s="2"/>
    </row>
    <row r="2" customFormat="false" ht="15" hidden="false" customHeight="true" outlineLevel="0" collapsed="false">
      <c r="A2" s="3" t="s">
        <v>1</v>
      </c>
      <c r="B2" s="4" t="s">
        <v>2</v>
      </c>
    </row>
    <row r="3" customFormat="false" ht="39" hidden="false" customHeight="true" outlineLevel="0" collapsed="false">
      <c r="A3" s="3" t="s">
        <v>3</v>
      </c>
      <c r="B3" s="4" t="s">
        <v>4</v>
      </c>
    </row>
    <row r="4" customFormat="false" ht="26.25" hidden="false" customHeight="true" outlineLevel="0" collapsed="false">
      <c r="A4" s="3" t="s">
        <v>5</v>
      </c>
      <c r="B4" s="4" t="s">
        <v>6</v>
      </c>
    </row>
    <row r="5" customFormat="false" ht="26.25" hidden="false" customHeight="true" outlineLevel="0" collapsed="false">
      <c r="A5" s="3" t="s">
        <v>7</v>
      </c>
      <c r="B5" s="4" t="s">
        <v>8</v>
      </c>
    </row>
    <row r="6" customFormat="false" ht="64.5" hidden="false" customHeight="true" outlineLevel="0" collapsed="false">
      <c r="A6" s="3" t="s">
        <v>9</v>
      </c>
      <c r="B6" s="4" t="s">
        <v>10</v>
      </c>
    </row>
    <row r="7" customFormat="false" ht="26.25" hidden="false" customHeight="true" outlineLevel="0" collapsed="false">
      <c r="A7" s="3" t="s">
        <v>11</v>
      </c>
      <c r="B7" s="4" t="s">
        <v>12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mergeCells count="1">
    <mergeCell ref="A1:B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3" activeCellId="0" sqref="B3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20"/>
    <col collapsed="false" customWidth="true" hidden="false" outlineLevel="0" max="4" min="4" style="1" width="24"/>
    <col collapsed="false" customWidth="true" hidden="false" outlineLevel="0" max="5" min="5" style="1" width="36"/>
    <col collapsed="false" customWidth="true" hidden="false" outlineLevel="0" max="6" min="6" style="1" width="8"/>
    <col collapsed="false" customWidth="true" hidden="false" outlineLevel="0" max="7" min="7" style="1" width="52"/>
    <col collapsed="false" customWidth="true" hidden="false" outlineLevel="0" max="8" min="8" style="1" width="32"/>
    <col collapsed="false" customWidth="true" hidden="false" outlineLevel="0" max="9" min="9" style="1" width="20"/>
    <col collapsed="false" customWidth="true" hidden="false" outlineLevel="0" max="10" min="10" style="1" width="48"/>
    <col collapsed="false" customWidth="true" hidden="false" outlineLevel="0" max="11" min="11" style="1" width="24"/>
    <col collapsed="false" customWidth="true" hidden="false" outlineLevel="0" max="12" min="12" style="1" width="34"/>
    <col collapsed="false" customWidth="true" hidden="false" outlineLevel="0" max="13" min="13" style="1" width="60"/>
    <col collapsed="false" customWidth="true" hidden="false" outlineLevel="0" max="16" min="14" style="1" width="22"/>
    <col collapsed="false" customWidth="true" hidden="false" outlineLevel="0" max="26" min="17" style="1" width="8.63"/>
  </cols>
  <sheetData>
    <row r="1" customFormat="false" ht="36" hidden="false" customHeight="true" outlineLevel="0" collapsed="false">
      <c r="A1" s="5" t="s">
        <v>13</v>
      </c>
      <c r="B1" s="5" t="s">
        <v>14</v>
      </c>
      <c r="C1" s="5" t="s">
        <v>15</v>
      </c>
      <c r="D1" s="5" t="s">
        <v>16</v>
      </c>
      <c r="E1" s="5" t="s">
        <v>17</v>
      </c>
      <c r="F1" s="5" t="s">
        <v>18</v>
      </c>
      <c r="G1" s="5" t="s">
        <v>19</v>
      </c>
      <c r="H1" s="5" t="s">
        <v>20</v>
      </c>
      <c r="I1" s="5" t="s">
        <v>21</v>
      </c>
      <c r="J1" s="5" t="s">
        <v>22</v>
      </c>
      <c r="K1" s="5" t="s">
        <v>23</v>
      </c>
      <c r="L1" s="5" t="s">
        <v>24</v>
      </c>
      <c r="M1" s="5" t="s">
        <v>25</v>
      </c>
      <c r="N1" s="5" t="s">
        <v>26</v>
      </c>
      <c r="O1" s="5" t="s">
        <v>27</v>
      </c>
      <c r="P1" s="5" t="s">
        <v>28</v>
      </c>
      <c r="Q1" s="6"/>
      <c r="R1" s="6"/>
      <c r="S1" s="6"/>
      <c r="T1" s="6"/>
      <c r="U1" s="6"/>
      <c r="V1" s="6"/>
      <c r="W1" s="6"/>
      <c r="X1" s="6"/>
      <c r="Y1" s="6"/>
      <c r="Z1" s="6"/>
    </row>
    <row r="2" customFormat="false" ht="21.75" hidden="false" customHeight="true" outlineLevel="0" collapsed="false">
      <c r="A2" s="7" t="s">
        <v>29</v>
      </c>
      <c r="B2" s="7" t="s">
        <v>30</v>
      </c>
      <c r="C2" s="7" t="s">
        <v>31</v>
      </c>
      <c r="D2" s="7" t="s">
        <v>32</v>
      </c>
      <c r="E2" s="7" t="s">
        <v>33</v>
      </c>
      <c r="F2" s="7" t="s">
        <v>34</v>
      </c>
      <c r="G2" s="7" t="s">
        <v>35</v>
      </c>
      <c r="H2" s="7" t="s">
        <v>36</v>
      </c>
      <c r="I2" s="7"/>
      <c r="J2" s="7" t="s">
        <v>37</v>
      </c>
      <c r="K2" s="7" t="s">
        <v>38</v>
      </c>
      <c r="L2" s="7" t="s">
        <v>39</v>
      </c>
      <c r="M2" s="7" t="s">
        <v>40</v>
      </c>
      <c r="N2" s="7" t="s">
        <v>41</v>
      </c>
      <c r="O2" s="7" t="s">
        <v>42</v>
      </c>
      <c r="P2" s="7" t="s">
        <v>43</v>
      </c>
    </row>
    <row r="3" customFormat="false" ht="21.75" hidden="false" customHeight="true" outlineLevel="0" collapsed="false">
      <c r="A3" s="7" t="s">
        <v>44</v>
      </c>
      <c r="B3" s="7" t="s">
        <v>30</v>
      </c>
      <c r="C3" s="7" t="s">
        <v>31</v>
      </c>
      <c r="D3" s="7" t="s">
        <v>45</v>
      </c>
      <c r="E3" s="7" t="s">
        <v>33</v>
      </c>
      <c r="F3" s="7" t="s">
        <v>34</v>
      </c>
      <c r="G3" s="7" t="s">
        <v>46</v>
      </c>
      <c r="H3" s="7" t="s">
        <v>36</v>
      </c>
      <c r="I3" s="7"/>
      <c r="J3" s="7" t="s">
        <v>47</v>
      </c>
      <c r="K3" s="7" t="s">
        <v>38</v>
      </c>
      <c r="L3" s="7" t="s">
        <v>48</v>
      </c>
      <c r="M3" s="7" t="s">
        <v>49</v>
      </c>
      <c r="N3" s="7" t="s">
        <v>41</v>
      </c>
      <c r="O3" s="7" t="s">
        <v>42</v>
      </c>
      <c r="P3" s="7" t="s">
        <v>43</v>
      </c>
    </row>
    <row r="4" customFormat="false" ht="21.75" hidden="false" customHeight="true" outlineLevel="0" collapsed="false">
      <c r="A4" s="7" t="s">
        <v>50</v>
      </c>
      <c r="B4" s="7" t="s">
        <v>30</v>
      </c>
      <c r="C4" s="7" t="s">
        <v>31</v>
      </c>
      <c r="D4" s="7" t="s">
        <v>51</v>
      </c>
      <c r="E4" s="7" t="s">
        <v>33</v>
      </c>
      <c r="F4" s="7" t="s">
        <v>34</v>
      </c>
      <c r="G4" s="7" t="s">
        <v>52</v>
      </c>
      <c r="H4" s="7" t="s">
        <v>53</v>
      </c>
      <c r="I4" s="7"/>
      <c r="J4" s="7" t="s">
        <v>54</v>
      </c>
      <c r="K4" s="7" t="s">
        <v>38</v>
      </c>
      <c r="L4" s="7" t="s">
        <v>55</v>
      </c>
      <c r="M4" s="7" t="s">
        <v>56</v>
      </c>
      <c r="N4" s="7" t="s">
        <v>57</v>
      </c>
      <c r="O4" s="7" t="s">
        <v>42</v>
      </c>
      <c r="P4" s="7" t="s">
        <v>43</v>
      </c>
    </row>
    <row r="5" customFormat="false" ht="21.75" hidden="false" customHeight="true" outlineLevel="0" collapsed="false">
      <c r="A5" s="7" t="s">
        <v>58</v>
      </c>
      <c r="B5" s="7" t="s">
        <v>30</v>
      </c>
      <c r="C5" s="7" t="s">
        <v>59</v>
      </c>
      <c r="D5" s="7" t="s">
        <v>60</v>
      </c>
      <c r="E5" s="7" t="s">
        <v>61</v>
      </c>
      <c r="F5" s="7" t="s">
        <v>62</v>
      </c>
      <c r="G5" s="7" t="s">
        <v>63</v>
      </c>
      <c r="H5" s="7" t="s">
        <v>64</v>
      </c>
      <c r="I5" s="7" t="s">
        <v>65</v>
      </c>
      <c r="J5" s="7" t="s">
        <v>66</v>
      </c>
      <c r="K5" s="7" t="s">
        <v>67</v>
      </c>
      <c r="L5" s="7" t="s">
        <v>68</v>
      </c>
      <c r="M5" s="7" t="s">
        <v>69</v>
      </c>
      <c r="N5" s="7" t="s">
        <v>70</v>
      </c>
      <c r="O5" s="7" t="s">
        <v>71</v>
      </c>
      <c r="P5" s="7" t="s">
        <v>72</v>
      </c>
    </row>
    <row r="6" customFormat="false" ht="32.25" hidden="false" customHeight="true" outlineLevel="0" collapsed="false">
      <c r="A6" s="7" t="s">
        <v>73</v>
      </c>
      <c r="B6" s="7" t="s">
        <v>30</v>
      </c>
      <c r="C6" s="7" t="s">
        <v>59</v>
      </c>
      <c r="D6" s="7" t="s">
        <v>74</v>
      </c>
      <c r="E6" s="7" t="s">
        <v>75</v>
      </c>
      <c r="F6" s="7" t="s">
        <v>62</v>
      </c>
      <c r="G6" s="7" t="s">
        <v>76</v>
      </c>
      <c r="H6" s="7" t="s">
        <v>77</v>
      </c>
      <c r="I6" s="7" t="s">
        <v>78</v>
      </c>
      <c r="J6" s="7" t="s">
        <v>79</v>
      </c>
      <c r="K6" s="7" t="s">
        <v>80</v>
      </c>
      <c r="L6" s="7" t="s">
        <v>81</v>
      </c>
      <c r="M6" s="7" t="s">
        <v>82</v>
      </c>
      <c r="N6" s="7" t="s">
        <v>70</v>
      </c>
      <c r="O6" s="7" t="s">
        <v>71</v>
      </c>
      <c r="P6" s="7" t="s">
        <v>72</v>
      </c>
    </row>
    <row r="7" customFormat="false" ht="21.75" hidden="false" customHeight="true" outlineLevel="0" collapsed="false">
      <c r="A7" s="7" t="s">
        <v>83</v>
      </c>
      <c r="B7" s="7" t="s">
        <v>30</v>
      </c>
      <c r="C7" s="7" t="s">
        <v>59</v>
      </c>
      <c r="D7" s="7" t="s">
        <v>84</v>
      </c>
      <c r="E7" s="7" t="s">
        <v>85</v>
      </c>
      <c r="F7" s="7" t="s">
        <v>34</v>
      </c>
      <c r="G7" s="7" t="s">
        <v>86</v>
      </c>
      <c r="H7" s="7" t="s">
        <v>87</v>
      </c>
      <c r="I7" s="7"/>
      <c r="J7" s="7" t="s">
        <v>88</v>
      </c>
      <c r="K7" s="7" t="s">
        <v>80</v>
      </c>
      <c r="L7" s="7" t="s">
        <v>89</v>
      </c>
      <c r="M7" s="7" t="s">
        <v>90</v>
      </c>
      <c r="N7" s="7" t="s">
        <v>91</v>
      </c>
      <c r="O7" s="7" t="s">
        <v>92</v>
      </c>
      <c r="P7" s="7" t="s">
        <v>93</v>
      </c>
    </row>
    <row r="8" customFormat="false" ht="21.75" hidden="false" customHeight="true" outlineLevel="0" collapsed="false">
      <c r="A8" s="7" t="s">
        <v>94</v>
      </c>
      <c r="B8" s="7" t="s">
        <v>30</v>
      </c>
      <c r="C8" s="7" t="s">
        <v>59</v>
      </c>
      <c r="D8" s="7" t="s">
        <v>84</v>
      </c>
      <c r="E8" s="7" t="s">
        <v>85</v>
      </c>
      <c r="F8" s="7" t="s">
        <v>95</v>
      </c>
      <c r="G8" s="7" t="s">
        <v>96</v>
      </c>
      <c r="H8" s="7" t="s">
        <v>97</v>
      </c>
      <c r="I8" s="7"/>
      <c r="J8" s="7" t="s">
        <v>98</v>
      </c>
      <c r="K8" s="7" t="s">
        <v>80</v>
      </c>
      <c r="L8" s="7" t="s">
        <v>99</v>
      </c>
      <c r="M8" s="7" t="s">
        <v>100</v>
      </c>
      <c r="N8" s="7" t="s">
        <v>91</v>
      </c>
      <c r="O8" s="7" t="s">
        <v>92</v>
      </c>
      <c r="P8" s="7" t="s">
        <v>93</v>
      </c>
    </row>
    <row r="9" customFormat="false" ht="21.75" hidden="false" customHeight="true" outlineLevel="0" collapsed="false">
      <c r="A9" s="7" t="s">
        <v>101</v>
      </c>
      <c r="B9" s="7" t="s">
        <v>30</v>
      </c>
      <c r="C9" s="7" t="s">
        <v>59</v>
      </c>
      <c r="D9" s="7" t="s">
        <v>102</v>
      </c>
      <c r="E9" s="7" t="s">
        <v>103</v>
      </c>
      <c r="F9" s="7" t="s">
        <v>95</v>
      </c>
      <c r="G9" s="7" t="s">
        <v>104</v>
      </c>
      <c r="H9" s="7" t="s">
        <v>97</v>
      </c>
      <c r="I9" s="7"/>
      <c r="J9" s="7" t="s">
        <v>105</v>
      </c>
      <c r="K9" s="7" t="s">
        <v>106</v>
      </c>
      <c r="L9" s="7" t="s">
        <v>107</v>
      </c>
      <c r="M9" s="7" t="s">
        <v>108</v>
      </c>
      <c r="N9" s="7" t="s">
        <v>91</v>
      </c>
      <c r="O9" s="7" t="s">
        <v>109</v>
      </c>
      <c r="P9" s="7" t="s">
        <v>72</v>
      </c>
    </row>
    <row r="10" customFormat="false" ht="21.75" hidden="false" customHeight="true" outlineLevel="0" collapsed="false">
      <c r="A10" s="7" t="s">
        <v>110</v>
      </c>
      <c r="B10" s="7" t="s">
        <v>30</v>
      </c>
      <c r="C10" s="7" t="s">
        <v>59</v>
      </c>
      <c r="D10" s="7" t="s">
        <v>111</v>
      </c>
      <c r="E10" s="7" t="s">
        <v>112</v>
      </c>
      <c r="F10" s="7" t="s">
        <v>113</v>
      </c>
      <c r="G10" s="7" t="s">
        <v>114</v>
      </c>
      <c r="H10" s="7" t="s">
        <v>115</v>
      </c>
      <c r="I10" s="7" t="s">
        <v>116</v>
      </c>
      <c r="J10" s="7" t="s">
        <v>117</v>
      </c>
      <c r="K10" s="7" t="s">
        <v>118</v>
      </c>
      <c r="L10" s="7" t="s">
        <v>119</v>
      </c>
      <c r="M10" s="7" t="s">
        <v>120</v>
      </c>
      <c r="N10" s="7" t="s">
        <v>70</v>
      </c>
      <c r="O10" s="7" t="s">
        <v>71</v>
      </c>
      <c r="P10" s="7" t="s">
        <v>72</v>
      </c>
    </row>
    <row r="11" customFormat="false" ht="21.75" hidden="false" customHeight="true" outlineLevel="0" collapsed="false">
      <c r="A11" s="7" t="s">
        <v>121</v>
      </c>
      <c r="B11" s="7" t="s">
        <v>122</v>
      </c>
      <c r="C11" s="7" t="s">
        <v>59</v>
      </c>
      <c r="D11" s="7" t="s">
        <v>123</v>
      </c>
      <c r="E11" s="7" t="s">
        <v>124</v>
      </c>
      <c r="F11" s="7" t="s">
        <v>125</v>
      </c>
      <c r="G11" s="7" t="s">
        <v>126</v>
      </c>
      <c r="H11" s="7" t="s">
        <v>127</v>
      </c>
      <c r="I11" s="7" t="s">
        <v>128</v>
      </c>
      <c r="J11" s="7" t="s">
        <v>129</v>
      </c>
      <c r="K11" s="7" t="s">
        <v>118</v>
      </c>
      <c r="L11" s="7" t="s">
        <v>130</v>
      </c>
      <c r="M11" s="7" t="s">
        <v>131</v>
      </c>
      <c r="N11" s="7" t="s">
        <v>70</v>
      </c>
      <c r="O11" s="7" t="s">
        <v>92</v>
      </c>
      <c r="P11" s="7" t="s">
        <v>72</v>
      </c>
    </row>
    <row r="12" customFormat="false" ht="21.75" hidden="false" customHeight="true" outlineLevel="0" collapsed="false">
      <c r="A12" s="7" t="s">
        <v>132</v>
      </c>
      <c r="B12" s="7" t="s">
        <v>122</v>
      </c>
      <c r="C12" s="7" t="s">
        <v>59</v>
      </c>
      <c r="D12" s="7" t="s">
        <v>133</v>
      </c>
      <c r="E12" s="7" t="s">
        <v>134</v>
      </c>
      <c r="F12" s="7" t="s">
        <v>135</v>
      </c>
      <c r="G12" s="7" t="s">
        <v>136</v>
      </c>
      <c r="H12" s="7" t="s">
        <v>137</v>
      </c>
      <c r="I12" s="7" t="s">
        <v>138</v>
      </c>
      <c r="J12" s="7" t="s">
        <v>139</v>
      </c>
      <c r="K12" s="7" t="s">
        <v>140</v>
      </c>
      <c r="L12" s="7" t="s">
        <v>141</v>
      </c>
      <c r="M12" s="7" t="s">
        <v>142</v>
      </c>
      <c r="N12" s="7" t="s">
        <v>70</v>
      </c>
      <c r="O12" s="7" t="s">
        <v>71</v>
      </c>
      <c r="P12" s="7" t="s">
        <v>72</v>
      </c>
    </row>
    <row r="13" customFormat="false" ht="21.75" hidden="false" customHeight="true" outlineLevel="0" collapsed="false">
      <c r="A13" s="7" t="s">
        <v>143</v>
      </c>
      <c r="B13" s="7" t="s">
        <v>122</v>
      </c>
      <c r="C13" s="7" t="s">
        <v>59</v>
      </c>
      <c r="D13" s="7" t="s">
        <v>144</v>
      </c>
      <c r="E13" s="7" t="s">
        <v>145</v>
      </c>
      <c r="F13" s="7" t="s">
        <v>146</v>
      </c>
      <c r="G13" s="7" t="s">
        <v>147</v>
      </c>
      <c r="H13" s="7" t="s">
        <v>148</v>
      </c>
      <c r="I13" s="7" t="s">
        <v>149</v>
      </c>
      <c r="J13" s="7" t="s">
        <v>150</v>
      </c>
      <c r="K13" s="7" t="s">
        <v>140</v>
      </c>
      <c r="L13" s="7" t="s">
        <v>151</v>
      </c>
      <c r="M13" s="7" t="s">
        <v>152</v>
      </c>
      <c r="N13" s="7" t="s">
        <v>70</v>
      </c>
      <c r="O13" s="7" t="s">
        <v>92</v>
      </c>
      <c r="P13" s="7" t="s">
        <v>72</v>
      </c>
    </row>
    <row r="14" customFormat="false" ht="21.75" hidden="false" customHeight="true" outlineLevel="0" collapsed="false">
      <c r="A14" s="7" t="s">
        <v>153</v>
      </c>
      <c r="B14" s="7" t="s">
        <v>122</v>
      </c>
      <c r="C14" s="7" t="s">
        <v>59</v>
      </c>
      <c r="D14" s="7" t="s">
        <v>154</v>
      </c>
      <c r="E14" s="7" t="s">
        <v>155</v>
      </c>
      <c r="F14" s="7" t="s">
        <v>156</v>
      </c>
      <c r="G14" s="7" t="s">
        <v>157</v>
      </c>
      <c r="H14" s="7" t="s">
        <v>158</v>
      </c>
      <c r="I14" s="7" t="s">
        <v>159</v>
      </c>
      <c r="J14" s="7" t="s">
        <v>160</v>
      </c>
      <c r="K14" s="7" t="s">
        <v>161</v>
      </c>
      <c r="L14" s="7" t="s">
        <v>162</v>
      </c>
      <c r="M14" s="7" t="s">
        <v>163</v>
      </c>
      <c r="N14" s="7" t="s">
        <v>70</v>
      </c>
      <c r="O14" s="7" t="s">
        <v>164</v>
      </c>
      <c r="P14" s="7" t="s">
        <v>72</v>
      </c>
    </row>
    <row r="15" customFormat="false" ht="21.75" hidden="false" customHeight="true" outlineLevel="0" collapsed="false">
      <c r="A15" s="7" t="s">
        <v>165</v>
      </c>
      <c r="B15" s="7" t="s">
        <v>122</v>
      </c>
      <c r="C15" s="7" t="s">
        <v>59</v>
      </c>
      <c r="D15" s="7" t="s">
        <v>166</v>
      </c>
      <c r="E15" s="7" t="s">
        <v>167</v>
      </c>
      <c r="F15" s="7" t="s">
        <v>168</v>
      </c>
      <c r="G15" s="7" t="s">
        <v>169</v>
      </c>
      <c r="H15" s="7" t="s">
        <v>170</v>
      </c>
      <c r="I15" s="7" t="s">
        <v>171</v>
      </c>
      <c r="J15" s="7" t="s">
        <v>172</v>
      </c>
      <c r="K15" s="7" t="s">
        <v>173</v>
      </c>
      <c r="L15" s="7" t="s">
        <v>174</v>
      </c>
      <c r="M15" s="7" t="s">
        <v>175</v>
      </c>
      <c r="N15" s="7" t="s">
        <v>70</v>
      </c>
      <c r="O15" s="7" t="s">
        <v>92</v>
      </c>
      <c r="P15" s="7" t="s">
        <v>72</v>
      </c>
    </row>
    <row r="16" customFormat="false" ht="42.75" hidden="false" customHeight="true" outlineLevel="0" collapsed="false">
      <c r="A16" s="7" t="s">
        <v>176</v>
      </c>
      <c r="B16" s="7" t="s">
        <v>177</v>
      </c>
      <c r="C16" s="7" t="s">
        <v>59</v>
      </c>
      <c r="D16" s="7" t="s">
        <v>178</v>
      </c>
      <c r="E16" s="7" t="s">
        <v>179</v>
      </c>
      <c r="F16" s="7" t="s">
        <v>180</v>
      </c>
      <c r="G16" s="7" t="s">
        <v>181</v>
      </c>
      <c r="H16" s="7" t="s">
        <v>182</v>
      </c>
      <c r="I16" s="7" t="s">
        <v>183</v>
      </c>
      <c r="J16" s="7" t="s">
        <v>184</v>
      </c>
      <c r="K16" s="7" t="s">
        <v>185</v>
      </c>
      <c r="L16" s="7" t="s">
        <v>186</v>
      </c>
      <c r="M16" s="7" t="s">
        <v>187</v>
      </c>
      <c r="N16" s="7" t="s">
        <v>70</v>
      </c>
      <c r="O16" s="7" t="s">
        <v>92</v>
      </c>
      <c r="P16" s="7" t="s">
        <v>93</v>
      </c>
    </row>
    <row r="17" customFormat="false" ht="21.75" hidden="false" customHeight="true" outlineLevel="0" collapsed="false">
      <c r="A17" s="7" t="s">
        <v>188</v>
      </c>
      <c r="B17" s="7" t="s">
        <v>30</v>
      </c>
      <c r="C17" s="7" t="s">
        <v>59</v>
      </c>
      <c r="D17" s="7" t="s">
        <v>189</v>
      </c>
      <c r="E17" s="7" t="s">
        <v>190</v>
      </c>
      <c r="F17" s="7" t="s">
        <v>62</v>
      </c>
      <c r="G17" s="7" t="s">
        <v>191</v>
      </c>
      <c r="H17" s="7" t="s">
        <v>192</v>
      </c>
      <c r="I17" s="7" t="s">
        <v>193</v>
      </c>
      <c r="J17" s="7" t="s">
        <v>194</v>
      </c>
      <c r="K17" s="7" t="s">
        <v>195</v>
      </c>
      <c r="L17" s="7" t="s">
        <v>196</v>
      </c>
      <c r="M17" s="7" t="s">
        <v>197</v>
      </c>
      <c r="N17" s="7" t="s">
        <v>70</v>
      </c>
      <c r="O17" s="7" t="s">
        <v>71</v>
      </c>
      <c r="P17" s="7" t="s">
        <v>72</v>
      </c>
    </row>
    <row r="18" customFormat="false" ht="32.25" hidden="false" customHeight="true" outlineLevel="0" collapsed="false">
      <c r="A18" s="7" t="s">
        <v>198</v>
      </c>
      <c r="B18" s="7" t="s">
        <v>30</v>
      </c>
      <c r="C18" s="7" t="s">
        <v>59</v>
      </c>
      <c r="D18" s="7" t="s">
        <v>199</v>
      </c>
      <c r="E18" s="7" t="s">
        <v>200</v>
      </c>
      <c r="F18" s="7" t="s">
        <v>62</v>
      </c>
      <c r="G18" s="7" t="s">
        <v>201</v>
      </c>
      <c r="H18" s="7" t="s">
        <v>202</v>
      </c>
      <c r="I18" s="7" t="s">
        <v>203</v>
      </c>
      <c r="J18" s="7" t="s">
        <v>204</v>
      </c>
      <c r="K18" s="7" t="s">
        <v>205</v>
      </c>
      <c r="L18" s="7" t="s">
        <v>206</v>
      </c>
      <c r="M18" s="7" t="s">
        <v>207</v>
      </c>
      <c r="N18" s="7" t="s">
        <v>70</v>
      </c>
      <c r="O18" s="7" t="s">
        <v>71</v>
      </c>
      <c r="P18" s="7" t="s">
        <v>72</v>
      </c>
    </row>
    <row r="19" customFormat="false" ht="32.25" hidden="false" customHeight="true" outlineLevel="0" collapsed="false">
      <c r="A19" s="7" t="s">
        <v>208</v>
      </c>
      <c r="B19" s="7" t="s">
        <v>122</v>
      </c>
      <c r="C19" s="7" t="s">
        <v>59</v>
      </c>
      <c r="D19" s="7" t="s">
        <v>209</v>
      </c>
      <c r="E19" s="7" t="s">
        <v>210</v>
      </c>
      <c r="F19" s="7" t="s">
        <v>211</v>
      </c>
      <c r="G19" s="7" t="s">
        <v>212</v>
      </c>
      <c r="H19" s="7" t="s">
        <v>213</v>
      </c>
      <c r="I19" s="7" t="s">
        <v>214</v>
      </c>
      <c r="J19" s="7" t="s">
        <v>215</v>
      </c>
      <c r="K19" s="7" t="s">
        <v>216</v>
      </c>
      <c r="L19" s="7" t="s">
        <v>217</v>
      </c>
      <c r="M19" s="7" t="s">
        <v>218</v>
      </c>
      <c r="N19" s="7" t="s">
        <v>219</v>
      </c>
      <c r="O19" s="7" t="s">
        <v>220</v>
      </c>
      <c r="P19" s="7" t="s">
        <v>221</v>
      </c>
    </row>
    <row r="20" customFormat="false" ht="21.75" hidden="false" customHeight="true" outlineLevel="0" collapsed="false">
      <c r="A20" s="7" t="s">
        <v>222</v>
      </c>
      <c r="B20" s="7" t="s">
        <v>122</v>
      </c>
      <c r="C20" s="7" t="s">
        <v>59</v>
      </c>
      <c r="D20" s="7" t="s">
        <v>223</v>
      </c>
      <c r="E20" s="7" t="s">
        <v>224</v>
      </c>
      <c r="F20" s="7" t="s">
        <v>225</v>
      </c>
      <c r="G20" s="7" t="s">
        <v>226</v>
      </c>
      <c r="H20" s="7" t="s">
        <v>227</v>
      </c>
      <c r="I20" s="7" t="s">
        <v>228</v>
      </c>
      <c r="J20" s="7" t="s">
        <v>229</v>
      </c>
      <c r="K20" s="7" t="s">
        <v>230</v>
      </c>
      <c r="L20" s="7" t="s">
        <v>231</v>
      </c>
      <c r="M20" s="7" t="s">
        <v>232</v>
      </c>
      <c r="N20" s="7" t="s">
        <v>70</v>
      </c>
      <c r="O20" s="7" t="s">
        <v>220</v>
      </c>
      <c r="P20" s="7" t="s">
        <v>233</v>
      </c>
    </row>
    <row r="21" customFormat="false" ht="15.75" hidden="false" customHeight="true" outlineLevel="0" collapsed="false">
      <c r="A21" s="7" t="s">
        <v>234</v>
      </c>
      <c r="B21" s="7" t="s">
        <v>177</v>
      </c>
      <c r="C21" s="7" t="s">
        <v>59</v>
      </c>
      <c r="D21" s="7" t="s">
        <v>235</v>
      </c>
      <c r="E21" s="7" t="s">
        <v>236</v>
      </c>
      <c r="F21" s="7" t="s">
        <v>237</v>
      </c>
      <c r="G21" s="7" t="s">
        <v>238</v>
      </c>
      <c r="H21" s="7" t="s">
        <v>239</v>
      </c>
      <c r="I21" s="7" t="s">
        <v>240</v>
      </c>
      <c r="J21" s="7" t="s">
        <v>241</v>
      </c>
      <c r="K21" s="7" t="s">
        <v>242</v>
      </c>
      <c r="L21" s="7" t="s">
        <v>243</v>
      </c>
      <c r="M21" s="7" t="s">
        <v>244</v>
      </c>
      <c r="N21" s="7" t="s">
        <v>70</v>
      </c>
      <c r="O21" s="7" t="s">
        <v>220</v>
      </c>
      <c r="P21" s="7" t="s">
        <v>245</v>
      </c>
    </row>
    <row r="22" customFormat="false" ht="15.75" hidden="false" customHeight="true" outlineLevel="0" collapsed="false">
      <c r="A22" s="7" t="s">
        <v>246</v>
      </c>
      <c r="B22" s="7" t="s">
        <v>122</v>
      </c>
      <c r="C22" s="7" t="s">
        <v>59</v>
      </c>
      <c r="D22" s="7" t="s">
        <v>247</v>
      </c>
      <c r="E22" s="7" t="s">
        <v>248</v>
      </c>
      <c r="F22" s="7" t="s">
        <v>249</v>
      </c>
      <c r="G22" s="7" t="s">
        <v>250</v>
      </c>
      <c r="H22" s="7" t="s">
        <v>251</v>
      </c>
      <c r="I22" s="7" t="s">
        <v>252</v>
      </c>
      <c r="J22" s="7" t="s">
        <v>253</v>
      </c>
      <c r="K22" s="7" t="s">
        <v>254</v>
      </c>
      <c r="L22" s="7" t="s">
        <v>255</v>
      </c>
      <c r="M22" s="7" t="s">
        <v>256</v>
      </c>
      <c r="N22" s="7" t="s">
        <v>70</v>
      </c>
      <c r="O22" s="7" t="s">
        <v>220</v>
      </c>
      <c r="P22" s="7" t="s">
        <v>72</v>
      </c>
    </row>
    <row r="23" customFormat="false" ht="15.75" hidden="false" customHeight="true" outlineLevel="0" collapsed="false">
      <c r="A23" s="7" t="s">
        <v>257</v>
      </c>
      <c r="B23" s="7" t="s">
        <v>177</v>
      </c>
      <c r="C23" s="7" t="s">
        <v>59</v>
      </c>
      <c r="D23" s="7" t="s">
        <v>258</v>
      </c>
      <c r="E23" s="7" t="s">
        <v>259</v>
      </c>
      <c r="F23" s="7" t="s">
        <v>260</v>
      </c>
      <c r="G23" s="7" t="s">
        <v>261</v>
      </c>
      <c r="H23" s="7" t="s">
        <v>262</v>
      </c>
      <c r="I23" s="7" t="s">
        <v>263</v>
      </c>
      <c r="J23" s="7" t="s">
        <v>264</v>
      </c>
      <c r="K23" s="7" t="s">
        <v>265</v>
      </c>
      <c r="L23" s="7" t="s">
        <v>266</v>
      </c>
      <c r="M23" s="7" t="s">
        <v>267</v>
      </c>
      <c r="N23" s="7" t="s">
        <v>70</v>
      </c>
      <c r="O23" s="7" t="s">
        <v>220</v>
      </c>
      <c r="P23" s="7" t="s">
        <v>268</v>
      </c>
    </row>
    <row r="24" customFormat="false" ht="15.75" hidden="false" customHeight="true" outlineLevel="0" collapsed="false">
      <c r="A24" s="7" t="s">
        <v>269</v>
      </c>
      <c r="B24" s="7" t="s">
        <v>177</v>
      </c>
      <c r="C24" s="7" t="s">
        <v>59</v>
      </c>
      <c r="D24" s="7" t="s">
        <v>270</v>
      </c>
      <c r="E24" s="7" t="s">
        <v>271</v>
      </c>
      <c r="F24" s="7" t="s">
        <v>168</v>
      </c>
      <c r="G24" s="7" t="s">
        <v>272</v>
      </c>
      <c r="H24" s="7" t="s">
        <v>273</v>
      </c>
      <c r="I24" s="7" t="s">
        <v>274</v>
      </c>
      <c r="J24" s="7" t="s">
        <v>275</v>
      </c>
      <c r="K24" s="7" t="s">
        <v>276</v>
      </c>
      <c r="L24" s="7" t="s">
        <v>277</v>
      </c>
      <c r="M24" s="7" t="s">
        <v>278</v>
      </c>
      <c r="N24" s="7" t="s">
        <v>70</v>
      </c>
      <c r="O24" s="7" t="s">
        <v>220</v>
      </c>
      <c r="P24" s="7" t="s">
        <v>279</v>
      </c>
    </row>
    <row r="25" customFormat="false" ht="15.75" hidden="false" customHeight="true" outlineLevel="0" collapsed="false">
      <c r="A25" s="7" t="s">
        <v>280</v>
      </c>
      <c r="B25" s="7" t="s">
        <v>122</v>
      </c>
      <c r="C25" s="7" t="s">
        <v>281</v>
      </c>
      <c r="D25" s="7" t="s">
        <v>282</v>
      </c>
      <c r="E25" s="7" t="s">
        <v>283</v>
      </c>
      <c r="F25" s="7" t="s">
        <v>284</v>
      </c>
      <c r="G25" s="7" t="s">
        <v>285</v>
      </c>
      <c r="H25" s="7" t="s">
        <v>286</v>
      </c>
      <c r="I25" s="7" t="s">
        <v>287</v>
      </c>
      <c r="J25" s="7" t="s">
        <v>288</v>
      </c>
      <c r="K25" s="7" t="s">
        <v>289</v>
      </c>
      <c r="L25" s="7" t="s">
        <v>290</v>
      </c>
      <c r="M25" s="7" t="s">
        <v>291</v>
      </c>
      <c r="N25" s="7" t="s">
        <v>70</v>
      </c>
      <c r="O25" s="7" t="s">
        <v>292</v>
      </c>
      <c r="P25" s="7" t="s">
        <v>293</v>
      </c>
    </row>
    <row r="26" customFormat="false" ht="15.75" hidden="false" customHeight="true" outlineLevel="0" collapsed="false">
      <c r="A26" s="7" t="s">
        <v>294</v>
      </c>
      <c r="B26" s="7" t="s">
        <v>177</v>
      </c>
      <c r="C26" s="7" t="s">
        <v>281</v>
      </c>
      <c r="D26" s="7" t="s">
        <v>295</v>
      </c>
      <c r="E26" s="7" t="s">
        <v>296</v>
      </c>
      <c r="F26" s="7" t="s">
        <v>284</v>
      </c>
      <c r="G26" s="7" t="s">
        <v>297</v>
      </c>
      <c r="H26" s="7" t="s">
        <v>298</v>
      </c>
      <c r="I26" s="7" t="s">
        <v>299</v>
      </c>
      <c r="J26" s="7" t="s">
        <v>300</v>
      </c>
      <c r="K26" s="7" t="s">
        <v>289</v>
      </c>
      <c r="L26" s="7" t="s">
        <v>301</v>
      </c>
      <c r="M26" s="7" t="s">
        <v>302</v>
      </c>
      <c r="N26" s="7" t="s">
        <v>70</v>
      </c>
      <c r="O26" s="7" t="s">
        <v>292</v>
      </c>
      <c r="P26" s="7" t="s">
        <v>233</v>
      </c>
    </row>
    <row r="27" customFormat="false" ht="15.75" hidden="false" customHeight="true" outlineLevel="0" collapsed="false">
      <c r="A27" s="7" t="s">
        <v>303</v>
      </c>
      <c r="B27" s="7" t="s">
        <v>122</v>
      </c>
      <c r="C27" s="7" t="s">
        <v>281</v>
      </c>
      <c r="D27" s="7" t="s">
        <v>304</v>
      </c>
      <c r="E27" s="7" t="s">
        <v>305</v>
      </c>
      <c r="F27" s="7" t="s">
        <v>135</v>
      </c>
      <c r="G27" s="7" t="s">
        <v>306</v>
      </c>
      <c r="H27" s="7" t="s">
        <v>307</v>
      </c>
      <c r="I27" s="7" t="s">
        <v>308</v>
      </c>
      <c r="J27" s="7" t="s">
        <v>309</v>
      </c>
      <c r="K27" s="7" t="s">
        <v>289</v>
      </c>
      <c r="L27" s="7" t="s">
        <v>310</v>
      </c>
      <c r="M27" s="7" t="s">
        <v>311</v>
      </c>
      <c r="N27" s="7" t="s">
        <v>70</v>
      </c>
      <c r="O27" s="7" t="s">
        <v>292</v>
      </c>
      <c r="P27" s="7" t="s">
        <v>233</v>
      </c>
    </row>
    <row r="28" customFormat="false" ht="15.75" hidden="false" customHeight="true" outlineLevel="0" collapsed="false">
      <c r="A28" s="7" t="s">
        <v>312</v>
      </c>
      <c r="B28" s="7" t="s">
        <v>177</v>
      </c>
      <c r="C28" s="7" t="s">
        <v>281</v>
      </c>
      <c r="D28" s="7" t="s">
        <v>313</v>
      </c>
      <c r="E28" s="7" t="s">
        <v>314</v>
      </c>
      <c r="F28" s="7" t="s">
        <v>315</v>
      </c>
      <c r="G28" s="7" t="s">
        <v>316</v>
      </c>
      <c r="H28" s="7" t="s">
        <v>317</v>
      </c>
      <c r="I28" s="7" t="s">
        <v>318</v>
      </c>
      <c r="J28" s="7" t="s">
        <v>319</v>
      </c>
      <c r="K28" s="7" t="s">
        <v>289</v>
      </c>
      <c r="L28" s="7" t="s">
        <v>320</v>
      </c>
      <c r="M28" s="7" t="s">
        <v>321</v>
      </c>
      <c r="N28" s="7" t="s">
        <v>70</v>
      </c>
      <c r="O28" s="7" t="s">
        <v>292</v>
      </c>
      <c r="P28" s="7" t="s">
        <v>293</v>
      </c>
    </row>
    <row r="29" customFormat="false" ht="15.75" hidden="false" customHeight="true" outlineLevel="0" collapsed="false">
      <c r="A29" s="7" t="s">
        <v>322</v>
      </c>
      <c r="B29" s="7" t="s">
        <v>177</v>
      </c>
      <c r="C29" s="7" t="s">
        <v>323</v>
      </c>
      <c r="D29" s="7" t="s">
        <v>324</v>
      </c>
      <c r="E29" s="7" t="s">
        <v>325</v>
      </c>
      <c r="F29" s="7" t="s">
        <v>135</v>
      </c>
      <c r="G29" s="7" t="s">
        <v>326</v>
      </c>
      <c r="H29" s="7" t="s">
        <v>327</v>
      </c>
      <c r="I29" s="7" t="s">
        <v>328</v>
      </c>
      <c r="J29" s="7" t="s">
        <v>329</v>
      </c>
      <c r="K29" s="7" t="s">
        <v>330</v>
      </c>
      <c r="L29" s="7" t="s">
        <v>331</v>
      </c>
      <c r="M29" s="7" t="s">
        <v>332</v>
      </c>
      <c r="N29" s="7" t="s">
        <v>70</v>
      </c>
      <c r="O29" s="7" t="s">
        <v>333</v>
      </c>
      <c r="P29" s="7" t="s">
        <v>334</v>
      </c>
    </row>
    <row r="30" customFormat="false" ht="15.75" hidden="false" customHeight="true" outlineLevel="0" collapsed="false">
      <c r="A30" s="7" t="s">
        <v>335</v>
      </c>
      <c r="B30" s="7" t="s">
        <v>122</v>
      </c>
      <c r="C30" s="7" t="s">
        <v>323</v>
      </c>
      <c r="D30" s="7" t="s">
        <v>336</v>
      </c>
      <c r="E30" s="7" t="s">
        <v>337</v>
      </c>
      <c r="F30" s="7" t="s">
        <v>34</v>
      </c>
      <c r="G30" s="7" t="s">
        <v>338</v>
      </c>
      <c r="H30" s="7" t="s">
        <v>339</v>
      </c>
      <c r="I30" s="7"/>
      <c r="J30" s="7" t="s">
        <v>340</v>
      </c>
      <c r="K30" s="7" t="s">
        <v>195</v>
      </c>
      <c r="L30" s="7" t="s">
        <v>341</v>
      </c>
      <c r="M30" s="7" t="s">
        <v>342</v>
      </c>
      <c r="N30" s="7" t="s">
        <v>91</v>
      </c>
      <c r="O30" s="7" t="s">
        <v>343</v>
      </c>
      <c r="P30" s="7" t="s">
        <v>334</v>
      </c>
    </row>
    <row r="31" customFormat="false" ht="15.75" hidden="false" customHeight="true" outlineLevel="0" collapsed="false">
      <c r="A31" s="7" t="s">
        <v>344</v>
      </c>
      <c r="B31" s="7" t="s">
        <v>177</v>
      </c>
      <c r="C31" s="7" t="s">
        <v>323</v>
      </c>
      <c r="D31" s="7" t="s">
        <v>345</v>
      </c>
      <c r="E31" s="7" t="s">
        <v>346</v>
      </c>
      <c r="F31" s="7" t="s">
        <v>34</v>
      </c>
      <c r="G31" s="7" t="s">
        <v>347</v>
      </c>
      <c r="H31" s="7" t="s">
        <v>348</v>
      </c>
      <c r="I31" s="7"/>
      <c r="J31" s="7" t="s">
        <v>349</v>
      </c>
      <c r="K31" s="7" t="s">
        <v>195</v>
      </c>
      <c r="L31" s="7" t="s">
        <v>350</v>
      </c>
      <c r="M31" s="7" t="s">
        <v>351</v>
      </c>
      <c r="N31" s="7" t="s">
        <v>352</v>
      </c>
      <c r="O31" s="7" t="s">
        <v>220</v>
      </c>
      <c r="P31" s="7" t="s">
        <v>334</v>
      </c>
    </row>
    <row r="32" customFormat="false" ht="15.75" hidden="false" customHeight="true" outlineLevel="0" collapsed="false">
      <c r="A32" s="7" t="s">
        <v>353</v>
      </c>
      <c r="B32" s="7" t="s">
        <v>30</v>
      </c>
      <c r="C32" s="7" t="s">
        <v>354</v>
      </c>
      <c r="D32" s="7" t="s">
        <v>355</v>
      </c>
      <c r="E32" s="7" t="s">
        <v>356</v>
      </c>
      <c r="F32" s="7" t="s">
        <v>357</v>
      </c>
      <c r="G32" s="7" t="s">
        <v>358</v>
      </c>
      <c r="H32" s="7" t="s">
        <v>359</v>
      </c>
      <c r="I32" s="7"/>
      <c r="J32" s="7" t="s">
        <v>360</v>
      </c>
      <c r="K32" s="7" t="s">
        <v>80</v>
      </c>
      <c r="L32" s="7" t="s">
        <v>361</v>
      </c>
      <c r="M32" s="7" t="s">
        <v>362</v>
      </c>
      <c r="N32" s="7" t="s">
        <v>363</v>
      </c>
      <c r="O32" s="7" t="s">
        <v>71</v>
      </c>
      <c r="P32" s="7" t="s">
        <v>72</v>
      </c>
    </row>
    <row r="33" customFormat="false" ht="15.75" hidden="false" customHeight="true" outlineLevel="0" collapsed="false">
      <c r="A33" s="7" t="s">
        <v>364</v>
      </c>
      <c r="B33" s="7" t="s">
        <v>30</v>
      </c>
      <c r="C33" s="7" t="s">
        <v>354</v>
      </c>
      <c r="D33" s="7" t="s">
        <v>365</v>
      </c>
      <c r="E33" s="7" t="s">
        <v>356</v>
      </c>
      <c r="F33" s="7" t="s">
        <v>357</v>
      </c>
      <c r="G33" s="7" t="s">
        <v>366</v>
      </c>
      <c r="H33" s="7" t="s">
        <v>359</v>
      </c>
      <c r="I33" s="7"/>
      <c r="J33" s="7" t="s">
        <v>367</v>
      </c>
      <c r="K33" s="7" t="s">
        <v>80</v>
      </c>
      <c r="L33" s="7" t="s">
        <v>368</v>
      </c>
      <c r="M33" s="7" t="s">
        <v>369</v>
      </c>
      <c r="N33" s="7" t="s">
        <v>363</v>
      </c>
      <c r="O33" s="7" t="s">
        <v>71</v>
      </c>
      <c r="P33" s="7" t="s">
        <v>72</v>
      </c>
    </row>
    <row r="34" customFormat="false" ht="15.75" hidden="false" customHeight="true" outlineLevel="0" collapsed="false">
      <c r="A34" s="7" t="s">
        <v>370</v>
      </c>
      <c r="B34" s="7" t="s">
        <v>30</v>
      </c>
      <c r="C34" s="7" t="s">
        <v>354</v>
      </c>
      <c r="D34" s="7" t="s">
        <v>371</v>
      </c>
      <c r="E34" s="7" t="s">
        <v>85</v>
      </c>
      <c r="F34" s="7" t="s">
        <v>34</v>
      </c>
      <c r="G34" s="7" t="s">
        <v>372</v>
      </c>
      <c r="H34" s="7" t="s">
        <v>87</v>
      </c>
      <c r="I34" s="7"/>
      <c r="J34" s="7" t="s">
        <v>373</v>
      </c>
      <c r="K34" s="7" t="s">
        <v>80</v>
      </c>
      <c r="L34" s="7" t="s">
        <v>374</v>
      </c>
      <c r="M34" s="7" t="s">
        <v>375</v>
      </c>
      <c r="N34" s="7" t="s">
        <v>91</v>
      </c>
      <c r="O34" s="7" t="s">
        <v>92</v>
      </c>
      <c r="P34" s="7" t="s">
        <v>72</v>
      </c>
    </row>
    <row r="35" customFormat="false" ht="15.75" hidden="false" customHeight="true" outlineLevel="0" collapsed="false">
      <c r="A35" s="7" t="s">
        <v>376</v>
      </c>
      <c r="B35" s="7" t="s">
        <v>122</v>
      </c>
      <c r="C35" s="7" t="s">
        <v>354</v>
      </c>
      <c r="D35" s="7" t="s">
        <v>377</v>
      </c>
      <c r="E35" s="7" t="s">
        <v>378</v>
      </c>
      <c r="F35" s="7" t="s">
        <v>168</v>
      </c>
      <c r="G35" s="7" t="s">
        <v>379</v>
      </c>
      <c r="H35" s="7" t="s">
        <v>380</v>
      </c>
      <c r="I35" s="7" t="s">
        <v>381</v>
      </c>
      <c r="J35" s="7" t="s">
        <v>382</v>
      </c>
      <c r="K35" s="7" t="s">
        <v>80</v>
      </c>
      <c r="L35" s="7" t="s">
        <v>383</v>
      </c>
      <c r="M35" s="7" t="s">
        <v>384</v>
      </c>
      <c r="N35" s="7" t="s">
        <v>70</v>
      </c>
      <c r="O35" s="7" t="s">
        <v>92</v>
      </c>
      <c r="P35" s="7" t="s">
        <v>72</v>
      </c>
    </row>
    <row r="36" customFormat="false" ht="15.75" hidden="false" customHeight="true" outlineLevel="0" collapsed="false">
      <c r="A36" s="7" t="s">
        <v>385</v>
      </c>
      <c r="B36" s="7" t="s">
        <v>122</v>
      </c>
      <c r="C36" s="7" t="s">
        <v>354</v>
      </c>
      <c r="D36" s="7" t="s">
        <v>386</v>
      </c>
      <c r="E36" s="7" t="s">
        <v>387</v>
      </c>
      <c r="F36" s="7" t="s">
        <v>125</v>
      </c>
      <c r="G36" s="7" t="s">
        <v>388</v>
      </c>
      <c r="H36" s="7" t="s">
        <v>389</v>
      </c>
      <c r="I36" s="7"/>
      <c r="J36" s="7" t="s">
        <v>390</v>
      </c>
      <c r="K36" s="7" t="s">
        <v>80</v>
      </c>
      <c r="L36" s="7" t="s">
        <v>391</v>
      </c>
      <c r="M36" s="7" t="s">
        <v>392</v>
      </c>
      <c r="N36" s="7" t="s">
        <v>389</v>
      </c>
      <c r="O36" s="7" t="s">
        <v>92</v>
      </c>
      <c r="P36" s="7" t="s">
        <v>93</v>
      </c>
    </row>
    <row r="37" customFormat="false" ht="15.75" hidden="false" customHeight="true" outlineLevel="0" collapsed="false">
      <c r="A37" s="7" t="s">
        <v>393</v>
      </c>
      <c r="B37" s="7" t="s">
        <v>122</v>
      </c>
      <c r="C37" s="7" t="s">
        <v>354</v>
      </c>
      <c r="D37" s="7" t="s">
        <v>394</v>
      </c>
      <c r="E37" s="7" t="s">
        <v>395</v>
      </c>
      <c r="F37" s="7" t="s">
        <v>225</v>
      </c>
      <c r="G37" s="7" t="s">
        <v>396</v>
      </c>
      <c r="H37" s="7" t="s">
        <v>397</v>
      </c>
      <c r="I37" s="7"/>
      <c r="J37" s="7" t="s">
        <v>373</v>
      </c>
      <c r="K37" s="7" t="s">
        <v>398</v>
      </c>
      <c r="L37" s="7" t="s">
        <v>399</v>
      </c>
      <c r="M37" s="7" t="s">
        <v>400</v>
      </c>
      <c r="N37" s="7" t="s">
        <v>397</v>
      </c>
      <c r="O37" s="7" t="s">
        <v>220</v>
      </c>
      <c r="P37" s="7" t="s">
        <v>401</v>
      </c>
    </row>
    <row r="38" customFormat="false" ht="15.75" hidden="false" customHeight="true" outlineLevel="0" collapsed="false">
      <c r="A38" s="7" t="s">
        <v>402</v>
      </c>
      <c r="B38" s="7" t="s">
        <v>122</v>
      </c>
      <c r="C38" s="7" t="s">
        <v>354</v>
      </c>
      <c r="D38" s="7" t="s">
        <v>403</v>
      </c>
      <c r="E38" s="7" t="s">
        <v>404</v>
      </c>
      <c r="F38" s="7" t="s">
        <v>225</v>
      </c>
      <c r="G38" s="7" t="s">
        <v>405</v>
      </c>
      <c r="H38" s="7" t="s">
        <v>397</v>
      </c>
      <c r="I38" s="7"/>
      <c r="J38" s="7" t="s">
        <v>373</v>
      </c>
      <c r="K38" s="7" t="s">
        <v>406</v>
      </c>
      <c r="L38" s="7" t="s">
        <v>407</v>
      </c>
      <c r="M38" s="7" t="s">
        <v>408</v>
      </c>
      <c r="N38" s="7" t="s">
        <v>397</v>
      </c>
      <c r="O38" s="7" t="s">
        <v>220</v>
      </c>
      <c r="P38" s="7" t="s">
        <v>401</v>
      </c>
    </row>
    <row r="39" customFormat="false" ht="15.75" hidden="false" customHeight="true" outlineLevel="0" collapsed="false">
      <c r="A39" s="7" t="s">
        <v>409</v>
      </c>
      <c r="B39" s="7" t="s">
        <v>122</v>
      </c>
      <c r="C39" s="7" t="s">
        <v>354</v>
      </c>
      <c r="D39" s="7" t="s">
        <v>410</v>
      </c>
      <c r="E39" s="7" t="s">
        <v>411</v>
      </c>
      <c r="F39" s="7" t="s">
        <v>249</v>
      </c>
      <c r="G39" s="7" t="s">
        <v>412</v>
      </c>
      <c r="H39" s="7" t="s">
        <v>413</v>
      </c>
      <c r="I39" s="7" t="s">
        <v>414</v>
      </c>
      <c r="J39" s="7" t="s">
        <v>415</v>
      </c>
      <c r="K39" s="7" t="s">
        <v>80</v>
      </c>
      <c r="L39" s="7" t="s">
        <v>416</v>
      </c>
      <c r="M39" s="7" t="s">
        <v>417</v>
      </c>
      <c r="N39" s="7" t="s">
        <v>70</v>
      </c>
      <c r="O39" s="7" t="s">
        <v>92</v>
      </c>
      <c r="P39" s="7" t="s">
        <v>72</v>
      </c>
    </row>
    <row r="40" customFormat="false" ht="15.75" hidden="false" customHeight="true" outlineLevel="0" collapsed="false">
      <c r="A40" s="7" t="s">
        <v>418</v>
      </c>
      <c r="B40" s="7" t="s">
        <v>177</v>
      </c>
      <c r="C40" s="7" t="s">
        <v>354</v>
      </c>
      <c r="D40" s="7" t="s">
        <v>419</v>
      </c>
      <c r="E40" s="7" t="s">
        <v>420</v>
      </c>
      <c r="F40" s="7" t="s">
        <v>357</v>
      </c>
      <c r="G40" s="7" t="s">
        <v>421</v>
      </c>
      <c r="H40" s="7" t="s">
        <v>359</v>
      </c>
      <c r="I40" s="7"/>
      <c r="J40" s="7" t="s">
        <v>422</v>
      </c>
      <c r="K40" s="7" t="s">
        <v>80</v>
      </c>
      <c r="L40" s="7" t="s">
        <v>423</v>
      </c>
      <c r="M40" s="7" t="s">
        <v>424</v>
      </c>
      <c r="N40" s="7" t="s">
        <v>363</v>
      </c>
      <c r="O40" s="7" t="s">
        <v>425</v>
      </c>
      <c r="P40" s="7" t="s">
        <v>72</v>
      </c>
    </row>
    <row r="41" customFormat="false" ht="15.75" hidden="false" customHeight="true" outlineLevel="0" collapsed="false">
      <c r="A41" s="7" t="s">
        <v>426</v>
      </c>
      <c r="B41" s="7" t="s">
        <v>177</v>
      </c>
      <c r="C41" s="7" t="s">
        <v>354</v>
      </c>
      <c r="D41" s="7" t="s">
        <v>427</v>
      </c>
      <c r="E41" s="7" t="s">
        <v>428</v>
      </c>
      <c r="F41" s="7" t="s">
        <v>429</v>
      </c>
      <c r="G41" s="7" t="s">
        <v>430</v>
      </c>
      <c r="H41" s="7" t="s">
        <v>431</v>
      </c>
      <c r="I41" s="7" t="s">
        <v>432</v>
      </c>
      <c r="J41" s="7" t="s">
        <v>433</v>
      </c>
      <c r="K41" s="7" t="s">
        <v>80</v>
      </c>
      <c r="L41" s="7" t="s">
        <v>434</v>
      </c>
      <c r="M41" s="7" t="s">
        <v>435</v>
      </c>
      <c r="N41" s="7" t="s">
        <v>70</v>
      </c>
      <c r="O41" s="7" t="s">
        <v>333</v>
      </c>
      <c r="P41" s="7" t="s">
        <v>72</v>
      </c>
    </row>
    <row r="42" customFormat="false" ht="15.75" hidden="false" customHeight="true" outlineLevel="0" collapsed="false">
      <c r="A42" s="7" t="s">
        <v>436</v>
      </c>
      <c r="B42" s="7" t="s">
        <v>177</v>
      </c>
      <c r="C42" s="7" t="s">
        <v>354</v>
      </c>
      <c r="D42" s="7" t="s">
        <v>437</v>
      </c>
      <c r="E42" s="7" t="s">
        <v>438</v>
      </c>
      <c r="F42" s="7" t="s">
        <v>429</v>
      </c>
      <c r="G42" s="7" t="s">
        <v>439</v>
      </c>
      <c r="H42" s="7" t="s">
        <v>440</v>
      </c>
      <c r="I42" s="7" t="s">
        <v>441</v>
      </c>
      <c r="J42" s="7" t="s">
        <v>442</v>
      </c>
      <c r="K42" s="7" t="s">
        <v>443</v>
      </c>
      <c r="L42" s="7" t="s">
        <v>444</v>
      </c>
      <c r="M42" s="7" t="s">
        <v>445</v>
      </c>
      <c r="N42" s="7" t="s">
        <v>70</v>
      </c>
      <c r="O42" s="7" t="s">
        <v>220</v>
      </c>
      <c r="P42" s="7" t="s">
        <v>72</v>
      </c>
    </row>
    <row r="43" customFormat="false" ht="15.75" hidden="false" customHeight="true" outlineLevel="0" collapsed="false">
      <c r="A43" s="7" t="s">
        <v>446</v>
      </c>
      <c r="B43" s="7" t="s">
        <v>177</v>
      </c>
      <c r="C43" s="7" t="s">
        <v>354</v>
      </c>
      <c r="D43" s="7" t="s">
        <v>447</v>
      </c>
      <c r="E43" s="7" t="s">
        <v>448</v>
      </c>
      <c r="F43" s="7" t="s">
        <v>315</v>
      </c>
      <c r="G43" s="7" t="s">
        <v>449</v>
      </c>
      <c r="H43" s="7" t="s">
        <v>450</v>
      </c>
      <c r="I43" s="7"/>
      <c r="J43" s="7" t="s">
        <v>451</v>
      </c>
      <c r="K43" s="7" t="s">
        <v>406</v>
      </c>
      <c r="L43" s="7" t="s">
        <v>452</v>
      </c>
      <c r="M43" s="7" t="s">
        <v>453</v>
      </c>
      <c r="N43" s="7" t="s">
        <v>450</v>
      </c>
      <c r="O43" s="7" t="s">
        <v>220</v>
      </c>
      <c r="P43" s="7" t="s">
        <v>93</v>
      </c>
    </row>
    <row r="44" customFormat="false" ht="15.75" hidden="false" customHeight="true" outlineLevel="0" collapsed="false">
      <c r="A44" s="7" t="s">
        <v>454</v>
      </c>
      <c r="B44" s="7" t="s">
        <v>177</v>
      </c>
      <c r="C44" s="7" t="s">
        <v>354</v>
      </c>
      <c r="D44" s="7" t="s">
        <v>455</v>
      </c>
      <c r="E44" s="7" t="s">
        <v>456</v>
      </c>
      <c r="F44" s="7" t="s">
        <v>249</v>
      </c>
      <c r="G44" s="7" t="s">
        <v>457</v>
      </c>
      <c r="H44" s="7" t="s">
        <v>458</v>
      </c>
      <c r="I44" s="7" t="s">
        <v>459</v>
      </c>
      <c r="J44" s="7" t="s">
        <v>460</v>
      </c>
      <c r="K44" s="7" t="s">
        <v>461</v>
      </c>
      <c r="L44" s="7" t="s">
        <v>462</v>
      </c>
      <c r="M44" s="7" t="s">
        <v>463</v>
      </c>
      <c r="N44" s="7" t="s">
        <v>464</v>
      </c>
      <c r="O44" s="7" t="s">
        <v>220</v>
      </c>
      <c r="P44" s="7" t="s">
        <v>465</v>
      </c>
    </row>
    <row r="45" customFormat="false" ht="15.75" hidden="false" customHeight="true" outlineLevel="0" collapsed="false">
      <c r="A45" s="7" t="s">
        <v>466</v>
      </c>
      <c r="B45" s="7" t="s">
        <v>177</v>
      </c>
      <c r="C45" s="7" t="s">
        <v>354</v>
      </c>
      <c r="D45" s="7" t="s">
        <v>467</v>
      </c>
      <c r="E45" s="7" t="s">
        <v>468</v>
      </c>
      <c r="F45" s="7" t="s">
        <v>469</v>
      </c>
      <c r="G45" s="7" t="s">
        <v>470</v>
      </c>
      <c r="H45" s="7" t="s">
        <v>471</v>
      </c>
      <c r="I45" s="7" t="s">
        <v>472</v>
      </c>
      <c r="J45" s="7" t="s">
        <v>473</v>
      </c>
      <c r="K45" s="7" t="s">
        <v>474</v>
      </c>
      <c r="L45" s="7" t="s">
        <v>475</v>
      </c>
      <c r="M45" s="7" t="s">
        <v>476</v>
      </c>
      <c r="N45" s="7" t="s">
        <v>70</v>
      </c>
      <c r="O45" s="7" t="s">
        <v>220</v>
      </c>
      <c r="P45" s="7" t="s">
        <v>293</v>
      </c>
    </row>
    <row r="46" customFormat="false" ht="15.75" hidden="false" customHeight="true" outlineLevel="0" collapsed="false">
      <c r="A46" s="7" t="s">
        <v>477</v>
      </c>
      <c r="B46" s="7" t="s">
        <v>177</v>
      </c>
      <c r="C46" s="7" t="s">
        <v>354</v>
      </c>
      <c r="D46" s="7" t="s">
        <v>478</v>
      </c>
      <c r="E46" s="7" t="s">
        <v>479</v>
      </c>
      <c r="F46" s="7" t="s">
        <v>237</v>
      </c>
      <c r="G46" s="7" t="s">
        <v>480</v>
      </c>
      <c r="H46" s="7" t="s">
        <v>481</v>
      </c>
      <c r="I46" s="7" t="s">
        <v>482</v>
      </c>
      <c r="J46" s="7" t="s">
        <v>483</v>
      </c>
      <c r="K46" s="7" t="s">
        <v>484</v>
      </c>
      <c r="L46" s="7" t="s">
        <v>485</v>
      </c>
      <c r="M46" s="7" t="s">
        <v>486</v>
      </c>
      <c r="N46" s="7" t="s">
        <v>70</v>
      </c>
      <c r="O46" s="7" t="s">
        <v>220</v>
      </c>
      <c r="P46" s="7" t="s">
        <v>293</v>
      </c>
    </row>
    <row r="47" customFormat="false" ht="15.75" hidden="false" customHeight="true" outlineLevel="0" collapsed="false">
      <c r="A47" s="7" t="s">
        <v>487</v>
      </c>
      <c r="B47" s="7" t="s">
        <v>177</v>
      </c>
      <c r="C47" s="7" t="s">
        <v>354</v>
      </c>
      <c r="D47" s="7" t="s">
        <v>488</v>
      </c>
      <c r="E47" s="7" t="s">
        <v>489</v>
      </c>
      <c r="F47" s="7" t="s">
        <v>180</v>
      </c>
      <c r="G47" s="7" t="s">
        <v>490</v>
      </c>
      <c r="H47" s="7" t="s">
        <v>491</v>
      </c>
      <c r="I47" s="7"/>
      <c r="J47" s="7" t="s">
        <v>492</v>
      </c>
      <c r="K47" s="7" t="s">
        <v>398</v>
      </c>
      <c r="L47" s="7" t="s">
        <v>493</v>
      </c>
      <c r="M47" s="7" t="s">
        <v>494</v>
      </c>
      <c r="N47" s="7" t="s">
        <v>495</v>
      </c>
      <c r="O47" s="7" t="s">
        <v>333</v>
      </c>
      <c r="P47" s="7" t="s">
        <v>72</v>
      </c>
    </row>
    <row r="48" customFormat="false" ht="15.75" hidden="false" customHeight="true" outlineLevel="0" collapsed="false">
      <c r="A48" s="7" t="s">
        <v>496</v>
      </c>
      <c r="B48" s="7" t="s">
        <v>30</v>
      </c>
      <c r="C48" s="7" t="s">
        <v>497</v>
      </c>
      <c r="D48" s="7" t="s">
        <v>498</v>
      </c>
      <c r="E48" s="7" t="s">
        <v>499</v>
      </c>
      <c r="F48" s="7" t="s">
        <v>225</v>
      </c>
      <c r="G48" s="7" t="s">
        <v>500</v>
      </c>
      <c r="H48" s="7" t="s">
        <v>501</v>
      </c>
      <c r="I48" s="7" t="s">
        <v>502</v>
      </c>
      <c r="J48" s="7" t="s">
        <v>503</v>
      </c>
      <c r="K48" s="7" t="s">
        <v>504</v>
      </c>
      <c r="L48" s="7" t="s">
        <v>505</v>
      </c>
      <c r="M48" s="7" t="s">
        <v>506</v>
      </c>
      <c r="N48" s="7" t="s">
        <v>70</v>
      </c>
      <c r="O48" s="7" t="s">
        <v>507</v>
      </c>
      <c r="P48" s="7" t="s">
        <v>72</v>
      </c>
    </row>
    <row r="49" customFormat="false" ht="15.75" hidden="false" customHeight="true" outlineLevel="0" collapsed="false">
      <c r="A49" s="7" t="s">
        <v>508</v>
      </c>
      <c r="B49" s="7" t="s">
        <v>122</v>
      </c>
      <c r="C49" s="7" t="s">
        <v>497</v>
      </c>
      <c r="D49" s="7" t="s">
        <v>509</v>
      </c>
      <c r="E49" s="7" t="s">
        <v>510</v>
      </c>
      <c r="F49" s="7" t="s">
        <v>225</v>
      </c>
      <c r="G49" s="7" t="s">
        <v>511</v>
      </c>
      <c r="H49" s="7" t="s">
        <v>512</v>
      </c>
      <c r="I49" s="7" t="s">
        <v>513</v>
      </c>
      <c r="J49" s="7" t="s">
        <v>514</v>
      </c>
      <c r="K49" s="7" t="s">
        <v>504</v>
      </c>
      <c r="L49" s="7" t="s">
        <v>515</v>
      </c>
      <c r="M49" s="7" t="s">
        <v>516</v>
      </c>
      <c r="N49" s="7" t="s">
        <v>70</v>
      </c>
      <c r="O49" s="7" t="s">
        <v>517</v>
      </c>
      <c r="P49" s="7" t="s">
        <v>72</v>
      </c>
    </row>
    <row r="50" customFormat="false" ht="15.75" hidden="false" customHeight="true" outlineLevel="0" collapsed="false">
      <c r="A50" s="7" t="s">
        <v>518</v>
      </c>
      <c r="B50" s="7" t="s">
        <v>177</v>
      </c>
      <c r="C50" s="7" t="s">
        <v>497</v>
      </c>
      <c r="D50" s="7" t="s">
        <v>519</v>
      </c>
      <c r="E50" s="7" t="s">
        <v>520</v>
      </c>
      <c r="F50" s="7" t="s">
        <v>521</v>
      </c>
      <c r="G50" s="7" t="s">
        <v>522</v>
      </c>
      <c r="H50" s="7" t="s">
        <v>523</v>
      </c>
      <c r="I50" s="7" t="s">
        <v>524</v>
      </c>
      <c r="J50" s="7" t="s">
        <v>525</v>
      </c>
      <c r="K50" s="7" t="s">
        <v>289</v>
      </c>
      <c r="L50" s="7" t="s">
        <v>526</v>
      </c>
      <c r="M50" s="7" t="s">
        <v>527</v>
      </c>
      <c r="N50" s="7" t="s">
        <v>70</v>
      </c>
      <c r="O50" s="7" t="s">
        <v>333</v>
      </c>
      <c r="P50" s="7" t="s">
        <v>93</v>
      </c>
    </row>
    <row r="51" customFormat="false" ht="15.75" hidden="false" customHeight="true" outlineLevel="0" collapsed="false">
      <c r="A51" s="7" t="s">
        <v>528</v>
      </c>
      <c r="B51" s="7" t="s">
        <v>30</v>
      </c>
      <c r="C51" s="7" t="s">
        <v>497</v>
      </c>
      <c r="D51" s="7" t="s">
        <v>529</v>
      </c>
      <c r="E51" s="7" t="s">
        <v>530</v>
      </c>
      <c r="F51" s="7" t="s">
        <v>34</v>
      </c>
      <c r="G51" s="7" t="s">
        <v>531</v>
      </c>
      <c r="H51" s="7" t="s">
        <v>532</v>
      </c>
      <c r="I51" s="7"/>
      <c r="J51" s="7" t="s">
        <v>533</v>
      </c>
      <c r="K51" s="7" t="s">
        <v>289</v>
      </c>
      <c r="L51" s="7" t="s">
        <v>534</v>
      </c>
      <c r="M51" s="7" t="s">
        <v>535</v>
      </c>
      <c r="N51" s="7" t="s">
        <v>536</v>
      </c>
      <c r="O51" s="7" t="s">
        <v>507</v>
      </c>
      <c r="P51" s="7" t="s">
        <v>72</v>
      </c>
    </row>
    <row r="52" customFormat="false" ht="15.75" hidden="false" customHeight="true" outlineLevel="0" collapsed="false">
      <c r="A52" s="7" t="s">
        <v>537</v>
      </c>
      <c r="B52" s="7" t="s">
        <v>30</v>
      </c>
      <c r="C52" s="7" t="s">
        <v>497</v>
      </c>
      <c r="D52" s="7" t="s">
        <v>538</v>
      </c>
      <c r="E52" s="7" t="s">
        <v>539</v>
      </c>
      <c r="F52" s="7" t="s">
        <v>34</v>
      </c>
      <c r="G52" s="7" t="s">
        <v>540</v>
      </c>
      <c r="H52" s="7" t="s">
        <v>541</v>
      </c>
      <c r="I52" s="7"/>
      <c r="J52" s="7" t="s">
        <v>542</v>
      </c>
      <c r="K52" s="7" t="s">
        <v>543</v>
      </c>
      <c r="L52" s="7" t="s">
        <v>544</v>
      </c>
      <c r="M52" s="7" t="s">
        <v>545</v>
      </c>
      <c r="N52" s="7" t="s">
        <v>541</v>
      </c>
      <c r="O52" s="7" t="s">
        <v>546</v>
      </c>
      <c r="P52" s="7" t="s">
        <v>547</v>
      </c>
    </row>
    <row r="53" customFormat="false" ht="15.75" hidden="false" customHeight="true" outlineLevel="0" collapsed="false">
      <c r="A53" s="7" t="s">
        <v>548</v>
      </c>
      <c r="B53" s="7" t="s">
        <v>177</v>
      </c>
      <c r="C53" s="7" t="s">
        <v>497</v>
      </c>
      <c r="D53" s="7" t="s">
        <v>549</v>
      </c>
      <c r="E53" s="7" t="s">
        <v>550</v>
      </c>
      <c r="F53" s="7" t="s">
        <v>357</v>
      </c>
      <c r="G53" s="7" t="s">
        <v>551</v>
      </c>
      <c r="H53" s="7" t="s">
        <v>552</v>
      </c>
      <c r="I53" s="7" t="s">
        <v>553</v>
      </c>
      <c r="J53" s="7" t="s">
        <v>554</v>
      </c>
      <c r="K53" s="7" t="s">
        <v>555</v>
      </c>
      <c r="L53" s="7" t="s">
        <v>556</v>
      </c>
      <c r="M53" s="7" t="s">
        <v>557</v>
      </c>
      <c r="N53" s="7" t="s">
        <v>70</v>
      </c>
      <c r="O53" s="7" t="s">
        <v>333</v>
      </c>
      <c r="P53" s="7" t="s">
        <v>72</v>
      </c>
    </row>
    <row r="54" customFormat="false" ht="15.75" hidden="false" customHeight="true" outlineLevel="0" collapsed="false">
      <c r="A54" s="7" t="s">
        <v>558</v>
      </c>
      <c r="B54" s="7" t="s">
        <v>177</v>
      </c>
      <c r="C54" s="7" t="s">
        <v>497</v>
      </c>
      <c r="D54" s="7" t="s">
        <v>559</v>
      </c>
      <c r="E54" s="7" t="s">
        <v>560</v>
      </c>
      <c r="F54" s="7" t="s">
        <v>225</v>
      </c>
      <c r="G54" s="7" t="s">
        <v>561</v>
      </c>
      <c r="H54" s="7" t="s">
        <v>562</v>
      </c>
      <c r="I54" s="7" t="s">
        <v>563</v>
      </c>
      <c r="J54" s="7" t="s">
        <v>564</v>
      </c>
      <c r="K54" s="7" t="s">
        <v>565</v>
      </c>
      <c r="L54" s="7" t="s">
        <v>566</v>
      </c>
      <c r="M54" s="7" t="s">
        <v>567</v>
      </c>
      <c r="N54" s="7" t="s">
        <v>70</v>
      </c>
      <c r="O54" s="7" t="s">
        <v>333</v>
      </c>
      <c r="P54" s="7" t="s">
        <v>293</v>
      </c>
    </row>
    <row r="55" customFormat="false" ht="15.75" hidden="false" customHeight="true" outlineLevel="0" collapsed="false">
      <c r="A55" s="7" t="s">
        <v>568</v>
      </c>
      <c r="B55" s="7" t="s">
        <v>177</v>
      </c>
      <c r="C55" s="7" t="s">
        <v>497</v>
      </c>
      <c r="D55" s="7" t="s">
        <v>569</v>
      </c>
      <c r="E55" s="7" t="s">
        <v>570</v>
      </c>
      <c r="F55" s="7" t="s">
        <v>315</v>
      </c>
      <c r="G55" s="7" t="s">
        <v>571</v>
      </c>
      <c r="H55" s="7" t="s">
        <v>572</v>
      </c>
      <c r="I55" s="7" t="s">
        <v>573</v>
      </c>
      <c r="J55" s="7" t="s">
        <v>574</v>
      </c>
      <c r="K55" s="7" t="s">
        <v>565</v>
      </c>
      <c r="L55" s="7" t="s">
        <v>575</v>
      </c>
      <c r="M55" s="7" t="s">
        <v>576</v>
      </c>
      <c r="N55" s="7" t="s">
        <v>70</v>
      </c>
      <c r="O55" s="7" t="s">
        <v>333</v>
      </c>
      <c r="P55" s="7" t="s">
        <v>293</v>
      </c>
    </row>
    <row r="56" customFormat="false" ht="15.75" hidden="false" customHeight="true" outlineLevel="0" collapsed="false">
      <c r="A56" s="7" t="s">
        <v>577</v>
      </c>
      <c r="B56" s="7" t="s">
        <v>122</v>
      </c>
      <c r="C56" s="7" t="s">
        <v>578</v>
      </c>
      <c r="D56" s="7" t="s">
        <v>579</v>
      </c>
      <c r="E56" s="7" t="s">
        <v>580</v>
      </c>
      <c r="F56" s="7" t="s">
        <v>581</v>
      </c>
      <c r="G56" s="7" t="s">
        <v>582</v>
      </c>
      <c r="H56" s="7" t="s">
        <v>583</v>
      </c>
      <c r="I56" s="7" t="s">
        <v>584</v>
      </c>
      <c r="J56" s="7" t="s">
        <v>585</v>
      </c>
      <c r="K56" s="7" t="s">
        <v>586</v>
      </c>
      <c r="L56" s="7" t="s">
        <v>587</v>
      </c>
      <c r="M56" s="7" t="s">
        <v>588</v>
      </c>
      <c r="N56" s="7" t="s">
        <v>70</v>
      </c>
      <c r="O56" s="7" t="s">
        <v>92</v>
      </c>
      <c r="P56" s="7" t="s">
        <v>589</v>
      </c>
    </row>
    <row r="57" customFormat="false" ht="15.75" hidden="false" customHeight="true" outlineLevel="0" collapsed="false">
      <c r="A57" s="7" t="s">
        <v>590</v>
      </c>
      <c r="B57" s="7" t="s">
        <v>122</v>
      </c>
      <c r="C57" s="7" t="s">
        <v>578</v>
      </c>
      <c r="D57" s="7" t="s">
        <v>591</v>
      </c>
      <c r="E57" s="7" t="s">
        <v>592</v>
      </c>
      <c r="F57" s="7" t="s">
        <v>581</v>
      </c>
      <c r="G57" s="7" t="s">
        <v>593</v>
      </c>
      <c r="H57" s="7" t="s">
        <v>594</v>
      </c>
      <c r="I57" s="7" t="s">
        <v>595</v>
      </c>
      <c r="J57" s="7" t="s">
        <v>596</v>
      </c>
      <c r="K57" s="7" t="s">
        <v>586</v>
      </c>
      <c r="L57" s="7" t="s">
        <v>597</v>
      </c>
      <c r="M57" s="7" t="s">
        <v>598</v>
      </c>
      <c r="N57" s="7" t="s">
        <v>70</v>
      </c>
      <c r="O57" s="7" t="s">
        <v>220</v>
      </c>
      <c r="P57" s="7" t="s">
        <v>599</v>
      </c>
    </row>
    <row r="58" customFormat="false" ht="15.75" hidden="false" customHeight="true" outlineLevel="0" collapsed="false">
      <c r="A58" s="7" t="s">
        <v>600</v>
      </c>
      <c r="B58" s="7" t="s">
        <v>177</v>
      </c>
      <c r="C58" s="7" t="s">
        <v>578</v>
      </c>
      <c r="D58" s="7" t="s">
        <v>601</v>
      </c>
      <c r="E58" s="7" t="s">
        <v>602</v>
      </c>
      <c r="F58" s="7" t="s">
        <v>249</v>
      </c>
      <c r="G58" s="7" t="s">
        <v>603</v>
      </c>
      <c r="H58" s="7" t="s">
        <v>604</v>
      </c>
      <c r="I58" s="7"/>
      <c r="J58" s="7" t="s">
        <v>605</v>
      </c>
      <c r="K58" s="7" t="s">
        <v>606</v>
      </c>
      <c r="L58" s="7" t="s">
        <v>607</v>
      </c>
      <c r="M58" s="7" t="s">
        <v>608</v>
      </c>
      <c r="N58" s="7" t="s">
        <v>70</v>
      </c>
      <c r="O58" s="7" t="s">
        <v>609</v>
      </c>
      <c r="P58" s="7" t="s">
        <v>93</v>
      </c>
    </row>
    <row r="59" customFormat="false" ht="15.75" hidden="false" customHeight="true" outlineLevel="0" collapsed="false">
      <c r="A59" s="7" t="s">
        <v>610</v>
      </c>
      <c r="B59" s="7" t="s">
        <v>177</v>
      </c>
      <c r="C59" s="7" t="s">
        <v>578</v>
      </c>
      <c r="D59" s="7" t="s">
        <v>611</v>
      </c>
      <c r="E59" s="7" t="s">
        <v>612</v>
      </c>
      <c r="F59" s="7" t="s">
        <v>113</v>
      </c>
      <c r="G59" s="7" t="s">
        <v>613</v>
      </c>
      <c r="H59" s="7" t="s">
        <v>614</v>
      </c>
      <c r="I59" s="7" t="s">
        <v>615</v>
      </c>
      <c r="J59" s="7" t="s">
        <v>616</v>
      </c>
      <c r="K59" s="7" t="s">
        <v>617</v>
      </c>
      <c r="L59" s="7" t="s">
        <v>618</v>
      </c>
      <c r="M59" s="7" t="s">
        <v>619</v>
      </c>
      <c r="N59" s="7" t="s">
        <v>70</v>
      </c>
      <c r="O59" s="7" t="s">
        <v>220</v>
      </c>
      <c r="P59" s="7" t="s">
        <v>93</v>
      </c>
    </row>
    <row r="60" customFormat="false" ht="15.75" hidden="false" customHeight="true" outlineLevel="0" collapsed="false">
      <c r="A60" s="7" t="s">
        <v>620</v>
      </c>
      <c r="B60" s="7" t="s">
        <v>177</v>
      </c>
      <c r="C60" s="7" t="s">
        <v>578</v>
      </c>
      <c r="D60" s="7" t="s">
        <v>621</v>
      </c>
      <c r="E60" s="7" t="s">
        <v>622</v>
      </c>
      <c r="F60" s="7" t="s">
        <v>429</v>
      </c>
      <c r="G60" s="7" t="s">
        <v>623</v>
      </c>
      <c r="H60" s="7" t="s">
        <v>450</v>
      </c>
      <c r="I60" s="7"/>
      <c r="J60" s="7" t="s">
        <v>624</v>
      </c>
      <c r="K60" s="7" t="s">
        <v>118</v>
      </c>
      <c r="L60" s="7" t="s">
        <v>625</v>
      </c>
      <c r="M60" s="7" t="s">
        <v>626</v>
      </c>
      <c r="N60" s="7" t="s">
        <v>450</v>
      </c>
      <c r="O60" s="7" t="s">
        <v>333</v>
      </c>
      <c r="P60" s="7" t="s">
        <v>93</v>
      </c>
    </row>
    <row r="61" customFormat="false" ht="15.75" hidden="false" customHeight="true" outlineLevel="0" collapsed="false">
      <c r="A61" s="7" t="s">
        <v>627</v>
      </c>
      <c r="B61" s="7" t="s">
        <v>177</v>
      </c>
      <c r="C61" s="7" t="s">
        <v>578</v>
      </c>
      <c r="D61" s="7" t="s">
        <v>628</v>
      </c>
      <c r="E61" s="7" t="s">
        <v>629</v>
      </c>
      <c r="F61" s="7" t="s">
        <v>180</v>
      </c>
      <c r="G61" s="7" t="s">
        <v>630</v>
      </c>
      <c r="H61" s="7" t="s">
        <v>450</v>
      </c>
      <c r="I61" s="7"/>
      <c r="J61" s="7" t="s">
        <v>631</v>
      </c>
      <c r="K61" s="7" t="s">
        <v>632</v>
      </c>
      <c r="L61" s="7" t="s">
        <v>633</v>
      </c>
      <c r="M61" s="7" t="s">
        <v>634</v>
      </c>
      <c r="N61" s="7" t="s">
        <v>450</v>
      </c>
      <c r="O61" s="7" t="s">
        <v>635</v>
      </c>
      <c r="P61" s="7" t="s">
        <v>93</v>
      </c>
    </row>
    <row r="62" customFormat="false" ht="15.75" hidden="false" customHeight="true" outlineLevel="0" collapsed="false">
      <c r="A62" s="7" t="s">
        <v>636</v>
      </c>
      <c r="B62" s="7" t="s">
        <v>177</v>
      </c>
      <c r="C62" s="7" t="s">
        <v>578</v>
      </c>
      <c r="D62" s="7" t="s">
        <v>637</v>
      </c>
      <c r="E62" s="7" t="s">
        <v>638</v>
      </c>
      <c r="F62" s="7" t="s">
        <v>639</v>
      </c>
      <c r="G62" s="7" t="s">
        <v>640</v>
      </c>
      <c r="H62" s="7" t="s">
        <v>641</v>
      </c>
      <c r="I62" s="7" t="s">
        <v>642</v>
      </c>
      <c r="J62" s="7" t="s">
        <v>643</v>
      </c>
      <c r="K62" s="7" t="s">
        <v>644</v>
      </c>
      <c r="L62" s="7" t="s">
        <v>645</v>
      </c>
      <c r="M62" s="7" t="s">
        <v>646</v>
      </c>
      <c r="N62" s="7" t="s">
        <v>647</v>
      </c>
      <c r="O62" s="7" t="s">
        <v>92</v>
      </c>
      <c r="P62" s="7" t="s">
        <v>648</v>
      </c>
    </row>
    <row r="63" customFormat="false" ht="15.75" hidden="false" customHeight="true" outlineLevel="0" collapsed="false">
      <c r="A63" s="7" t="s">
        <v>649</v>
      </c>
      <c r="B63" s="7" t="s">
        <v>122</v>
      </c>
      <c r="C63" s="7" t="s">
        <v>650</v>
      </c>
      <c r="D63" s="7" t="s">
        <v>651</v>
      </c>
      <c r="E63" s="7" t="s">
        <v>652</v>
      </c>
      <c r="F63" s="7" t="s">
        <v>260</v>
      </c>
      <c r="G63" s="7" t="s">
        <v>653</v>
      </c>
      <c r="H63" s="7" t="s">
        <v>654</v>
      </c>
      <c r="I63" s="7"/>
      <c r="J63" s="7" t="s">
        <v>655</v>
      </c>
      <c r="K63" s="7" t="s">
        <v>656</v>
      </c>
      <c r="L63" s="7" t="s">
        <v>657</v>
      </c>
      <c r="M63" s="7" t="s">
        <v>658</v>
      </c>
      <c r="N63" s="7" t="s">
        <v>70</v>
      </c>
      <c r="O63" s="7" t="s">
        <v>659</v>
      </c>
      <c r="P63" s="7" t="s">
        <v>660</v>
      </c>
    </row>
    <row r="64" customFormat="false" ht="15.75" hidden="false" customHeight="true" outlineLevel="0" collapsed="false">
      <c r="A64" s="7" t="s">
        <v>661</v>
      </c>
      <c r="B64" s="7" t="s">
        <v>177</v>
      </c>
      <c r="C64" s="7" t="s">
        <v>650</v>
      </c>
      <c r="D64" s="7" t="s">
        <v>662</v>
      </c>
      <c r="E64" s="7" t="s">
        <v>663</v>
      </c>
      <c r="F64" s="7" t="s">
        <v>260</v>
      </c>
      <c r="G64" s="7" t="s">
        <v>664</v>
      </c>
      <c r="H64" s="7" t="s">
        <v>665</v>
      </c>
      <c r="I64" s="7" t="s">
        <v>666</v>
      </c>
      <c r="J64" s="7" t="s">
        <v>667</v>
      </c>
      <c r="K64" s="7" t="s">
        <v>668</v>
      </c>
      <c r="L64" s="7" t="s">
        <v>669</v>
      </c>
      <c r="M64" s="7" t="s">
        <v>670</v>
      </c>
      <c r="N64" s="7" t="s">
        <v>70</v>
      </c>
      <c r="O64" s="7" t="s">
        <v>220</v>
      </c>
      <c r="P64" s="7" t="s">
        <v>660</v>
      </c>
    </row>
    <row r="65" customFormat="false" ht="15.75" hidden="false" customHeight="true" outlineLevel="0" collapsed="false">
      <c r="A65" s="7" t="s">
        <v>671</v>
      </c>
      <c r="B65" s="7" t="s">
        <v>177</v>
      </c>
      <c r="C65" s="7" t="s">
        <v>650</v>
      </c>
      <c r="D65" s="7" t="s">
        <v>672</v>
      </c>
      <c r="E65" s="7" t="s">
        <v>673</v>
      </c>
      <c r="F65" s="7" t="s">
        <v>260</v>
      </c>
      <c r="G65" s="7" t="s">
        <v>674</v>
      </c>
      <c r="H65" s="7" t="s">
        <v>675</v>
      </c>
      <c r="I65" s="7"/>
      <c r="J65" s="7" t="s">
        <v>655</v>
      </c>
      <c r="K65" s="7" t="s">
        <v>676</v>
      </c>
      <c r="L65" s="7" t="s">
        <v>677</v>
      </c>
      <c r="M65" s="7" t="s">
        <v>678</v>
      </c>
      <c r="N65" s="7" t="s">
        <v>70</v>
      </c>
      <c r="O65" s="7" t="s">
        <v>220</v>
      </c>
      <c r="P65" s="7" t="s">
        <v>660</v>
      </c>
    </row>
    <row r="66" customFormat="false" ht="15.75" hidden="false" customHeight="true" outlineLevel="0" collapsed="false">
      <c r="A66" s="7" t="s">
        <v>679</v>
      </c>
      <c r="B66" s="7" t="s">
        <v>177</v>
      </c>
      <c r="C66" s="7" t="s">
        <v>650</v>
      </c>
      <c r="D66" s="7" t="s">
        <v>680</v>
      </c>
      <c r="E66" s="7" t="s">
        <v>681</v>
      </c>
      <c r="F66" s="7" t="s">
        <v>260</v>
      </c>
      <c r="G66" s="7" t="s">
        <v>682</v>
      </c>
      <c r="H66" s="7" t="s">
        <v>604</v>
      </c>
      <c r="I66" s="7" t="s">
        <v>683</v>
      </c>
      <c r="J66" s="7" t="s">
        <v>684</v>
      </c>
      <c r="K66" s="7" t="s">
        <v>676</v>
      </c>
      <c r="L66" s="7" t="s">
        <v>685</v>
      </c>
      <c r="M66" s="7" t="s">
        <v>686</v>
      </c>
      <c r="N66" s="7" t="s">
        <v>70</v>
      </c>
      <c r="O66" s="7" t="s">
        <v>333</v>
      </c>
      <c r="P66" s="7" t="s">
        <v>660</v>
      </c>
    </row>
    <row r="67" customFormat="false" ht="15.75" hidden="false" customHeight="true" outlineLevel="0" collapsed="false">
      <c r="A67" s="7" t="s">
        <v>687</v>
      </c>
      <c r="B67" s="7" t="s">
        <v>177</v>
      </c>
      <c r="C67" s="7" t="s">
        <v>650</v>
      </c>
      <c r="D67" s="7" t="s">
        <v>688</v>
      </c>
      <c r="E67" s="7" t="s">
        <v>689</v>
      </c>
      <c r="F67" s="7" t="s">
        <v>260</v>
      </c>
      <c r="G67" s="7" t="s">
        <v>690</v>
      </c>
      <c r="H67" s="7" t="s">
        <v>691</v>
      </c>
      <c r="I67" s="7"/>
      <c r="J67" s="7" t="s">
        <v>655</v>
      </c>
      <c r="K67" s="7" t="s">
        <v>692</v>
      </c>
      <c r="L67" s="7" t="s">
        <v>693</v>
      </c>
      <c r="M67" s="7" t="s">
        <v>694</v>
      </c>
      <c r="N67" s="7" t="s">
        <v>70</v>
      </c>
      <c r="O67" s="7" t="s">
        <v>220</v>
      </c>
      <c r="P67" s="7" t="s">
        <v>660</v>
      </c>
    </row>
    <row r="68" customFormat="false" ht="15.75" hidden="false" customHeight="true" outlineLevel="0" collapsed="false">
      <c r="A68" s="7" t="s">
        <v>695</v>
      </c>
      <c r="B68" s="7" t="s">
        <v>177</v>
      </c>
      <c r="C68" s="7" t="s">
        <v>650</v>
      </c>
      <c r="D68" s="7" t="s">
        <v>696</v>
      </c>
      <c r="E68" s="7" t="s">
        <v>697</v>
      </c>
      <c r="F68" s="7" t="s">
        <v>260</v>
      </c>
      <c r="G68" s="7" t="s">
        <v>698</v>
      </c>
      <c r="H68" s="7" t="s">
        <v>699</v>
      </c>
      <c r="I68" s="7" t="s">
        <v>700</v>
      </c>
      <c r="J68" s="7" t="s">
        <v>701</v>
      </c>
      <c r="K68" s="7" t="s">
        <v>195</v>
      </c>
      <c r="L68" s="7" t="s">
        <v>702</v>
      </c>
      <c r="M68" s="7" t="s">
        <v>703</v>
      </c>
      <c r="N68" s="7" t="s">
        <v>70</v>
      </c>
      <c r="O68" s="7" t="s">
        <v>333</v>
      </c>
      <c r="P68" s="7" t="s">
        <v>704</v>
      </c>
    </row>
    <row r="69" customFormat="false" ht="15.75" hidden="false" customHeight="true" outlineLevel="0" collapsed="false">
      <c r="A69" s="7" t="s">
        <v>705</v>
      </c>
      <c r="B69" s="7" t="s">
        <v>177</v>
      </c>
      <c r="C69" s="7" t="s">
        <v>650</v>
      </c>
      <c r="D69" s="7" t="s">
        <v>706</v>
      </c>
      <c r="E69" s="7" t="s">
        <v>707</v>
      </c>
      <c r="F69" s="7" t="s">
        <v>708</v>
      </c>
      <c r="G69" s="7" t="s">
        <v>709</v>
      </c>
      <c r="H69" s="7" t="s">
        <v>710</v>
      </c>
      <c r="I69" s="7"/>
      <c r="J69" s="7" t="s">
        <v>711</v>
      </c>
      <c r="K69" s="7" t="s">
        <v>712</v>
      </c>
      <c r="L69" s="7" t="s">
        <v>713</v>
      </c>
      <c r="M69" s="7" t="s">
        <v>714</v>
      </c>
      <c r="N69" s="7" t="s">
        <v>715</v>
      </c>
      <c r="O69" s="7" t="s">
        <v>220</v>
      </c>
      <c r="P69" s="7" t="s">
        <v>716</v>
      </c>
    </row>
    <row r="70" customFormat="false" ht="15.75" hidden="false" customHeight="true" outlineLevel="0" collapsed="false">
      <c r="A70" s="7" t="s">
        <v>717</v>
      </c>
      <c r="B70" s="7" t="s">
        <v>177</v>
      </c>
      <c r="C70" s="7" t="s">
        <v>650</v>
      </c>
      <c r="D70" s="7" t="s">
        <v>718</v>
      </c>
      <c r="E70" s="7" t="s">
        <v>719</v>
      </c>
      <c r="F70" s="7" t="s">
        <v>95</v>
      </c>
      <c r="G70" s="7" t="s">
        <v>720</v>
      </c>
      <c r="H70" s="7" t="s">
        <v>721</v>
      </c>
      <c r="I70" s="7" t="s">
        <v>722</v>
      </c>
      <c r="J70" s="7" t="s">
        <v>723</v>
      </c>
      <c r="K70" s="7" t="s">
        <v>724</v>
      </c>
      <c r="L70" s="7" t="s">
        <v>725</v>
      </c>
      <c r="M70" s="7" t="s">
        <v>726</v>
      </c>
      <c r="N70" s="7" t="s">
        <v>721</v>
      </c>
      <c r="O70" s="7" t="s">
        <v>727</v>
      </c>
      <c r="P70" s="7" t="s">
        <v>728</v>
      </c>
    </row>
    <row r="71" customFormat="false" ht="15.75" hidden="false" customHeight="true" outlineLevel="0" collapsed="false">
      <c r="A71" s="7" t="s">
        <v>729</v>
      </c>
      <c r="B71" s="7" t="s">
        <v>177</v>
      </c>
      <c r="C71" s="7" t="s">
        <v>650</v>
      </c>
      <c r="D71" s="7" t="s">
        <v>730</v>
      </c>
      <c r="E71" s="7" t="s">
        <v>731</v>
      </c>
      <c r="F71" s="7" t="s">
        <v>639</v>
      </c>
      <c r="G71" s="7" t="s">
        <v>732</v>
      </c>
      <c r="H71" s="7" t="s">
        <v>733</v>
      </c>
      <c r="I71" s="7" t="s">
        <v>734</v>
      </c>
      <c r="J71" s="7" t="s">
        <v>735</v>
      </c>
      <c r="K71" s="7" t="s">
        <v>474</v>
      </c>
      <c r="L71" s="7" t="s">
        <v>736</v>
      </c>
      <c r="M71" s="7" t="s">
        <v>737</v>
      </c>
      <c r="N71" s="7" t="s">
        <v>70</v>
      </c>
      <c r="O71" s="7" t="s">
        <v>220</v>
      </c>
      <c r="P71" s="7" t="s">
        <v>738</v>
      </c>
    </row>
    <row r="72" customFormat="false" ht="15.75" hidden="false" customHeight="true" outlineLevel="0" collapsed="false">
      <c r="A72" s="7" t="s">
        <v>739</v>
      </c>
      <c r="B72" s="7" t="s">
        <v>30</v>
      </c>
      <c r="C72" s="7" t="s">
        <v>740</v>
      </c>
      <c r="D72" s="7" t="s">
        <v>741</v>
      </c>
      <c r="E72" s="7" t="s">
        <v>742</v>
      </c>
      <c r="F72" s="7" t="s">
        <v>639</v>
      </c>
      <c r="G72" s="7" t="s">
        <v>743</v>
      </c>
      <c r="H72" s="7" t="s">
        <v>536</v>
      </c>
      <c r="I72" s="7"/>
      <c r="J72" s="7" t="s">
        <v>744</v>
      </c>
      <c r="K72" s="7" t="s">
        <v>289</v>
      </c>
      <c r="L72" s="7" t="s">
        <v>745</v>
      </c>
      <c r="M72" s="7" t="s">
        <v>746</v>
      </c>
      <c r="N72" s="7" t="s">
        <v>536</v>
      </c>
      <c r="O72" s="7" t="s">
        <v>747</v>
      </c>
      <c r="P72" s="7" t="s">
        <v>334</v>
      </c>
    </row>
    <row r="73" customFormat="false" ht="15.75" hidden="false" customHeight="true" outlineLevel="0" collapsed="false">
      <c r="A73" s="7" t="s">
        <v>748</v>
      </c>
      <c r="B73" s="7" t="s">
        <v>30</v>
      </c>
      <c r="C73" s="7" t="s">
        <v>740</v>
      </c>
      <c r="D73" s="7" t="s">
        <v>749</v>
      </c>
      <c r="E73" s="7" t="s">
        <v>750</v>
      </c>
      <c r="F73" s="7" t="s">
        <v>34</v>
      </c>
      <c r="G73" s="7" t="s">
        <v>751</v>
      </c>
      <c r="H73" s="7" t="s">
        <v>532</v>
      </c>
      <c r="I73" s="7"/>
      <c r="J73" s="7" t="s">
        <v>752</v>
      </c>
      <c r="K73" s="7" t="s">
        <v>289</v>
      </c>
      <c r="L73" s="7" t="s">
        <v>753</v>
      </c>
      <c r="M73" s="7" t="s">
        <v>754</v>
      </c>
      <c r="N73" s="7" t="s">
        <v>536</v>
      </c>
      <c r="O73" s="7" t="s">
        <v>747</v>
      </c>
      <c r="P73" s="7" t="s">
        <v>334</v>
      </c>
    </row>
    <row r="74" customFormat="false" ht="15.75" hidden="false" customHeight="true" outlineLevel="0" collapsed="false">
      <c r="A74" s="7" t="s">
        <v>755</v>
      </c>
      <c r="B74" s="7" t="s">
        <v>30</v>
      </c>
      <c r="C74" s="7" t="s">
        <v>740</v>
      </c>
      <c r="D74" s="7" t="s">
        <v>756</v>
      </c>
      <c r="E74" s="7" t="s">
        <v>757</v>
      </c>
      <c r="F74" s="7" t="s">
        <v>758</v>
      </c>
      <c r="G74" s="7" t="s">
        <v>759</v>
      </c>
      <c r="H74" s="7" t="s">
        <v>760</v>
      </c>
      <c r="I74" s="7" t="s">
        <v>761</v>
      </c>
      <c r="J74" s="7" t="s">
        <v>762</v>
      </c>
      <c r="K74" s="7" t="s">
        <v>289</v>
      </c>
      <c r="L74" s="7" t="s">
        <v>763</v>
      </c>
      <c r="M74" s="7" t="s">
        <v>764</v>
      </c>
      <c r="N74" s="7" t="s">
        <v>765</v>
      </c>
      <c r="O74" s="7" t="s">
        <v>747</v>
      </c>
      <c r="P74" s="7" t="s">
        <v>334</v>
      </c>
    </row>
    <row r="75" customFormat="false" ht="15.75" hidden="false" customHeight="true" outlineLevel="0" collapsed="false">
      <c r="A75" s="7" t="s">
        <v>766</v>
      </c>
      <c r="B75" s="7" t="s">
        <v>30</v>
      </c>
      <c r="C75" s="7" t="s">
        <v>767</v>
      </c>
      <c r="D75" s="7" t="s">
        <v>768</v>
      </c>
      <c r="E75" s="7" t="s">
        <v>769</v>
      </c>
      <c r="F75" s="7" t="s">
        <v>770</v>
      </c>
      <c r="G75" s="7" t="s">
        <v>771</v>
      </c>
      <c r="H75" s="7" t="s">
        <v>772</v>
      </c>
      <c r="I75" s="7" t="s">
        <v>773</v>
      </c>
      <c r="J75" s="7" t="s">
        <v>774</v>
      </c>
      <c r="K75" s="7" t="s">
        <v>775</v>
      </c>
      <c r="L75" s="7" t="s">
        <v>776</v>
      </c>
      <c r="M75" s="7" t="s">
        <v>777</v>
      </c>
      <c r="N75" s="7" t="s">
        <v>70</v>
      </c>
      <c r="O75" s="7" t="s">
        <v>92</v>
      </c>
      <c r="P75" s="7" t="s">
        <v>778</v>
      </c>
    </row>
    <row r="76" customFormat="false" ht="15.75" hidden="false" customHeight="true" outlineLevel="0" collapsed="false">
      <c r="A76" s="7" t="s">
        <v>779</v>
      </c>
      <c r="B76" s="7" t="s">
        <v>30</v>
      </c>
      <c r="C76" s="7" t="s">
        <v>767</v>
      </c>
      <c r="D76" s="7" t="s">
        <v>780</v>
      </c>
      <c r="E76" s="7" t="s">
        <v>781</v>
      </c>
      <c r="F76" s="7" t="s">
        <v>237</v>
      </c>
      <c r="G76" s="7" t="s">
        <v>782</v>
      </c>
      <c r="H76" s="7" t="s">
        <v>783</v>
      </c>
      <c r="I76" s="7" t="s">
        <v>784</v>
      </c>
      <c r="J76" s="7" t="s">
        <v>785</v>
      </c>
      <c r="K76" s="7" t="s">
        <v>786</v>
      </c>
      <c r="L76" s="7" t="s">
        <v>787</v>
      </c>
      <c r="M76" s="7" t="s">
        <v>788</v>
      </c>
      <c r="N76" s="7" t="s">
        <v>70</v>
      </c>
      <c r="O76" s="7" t="s">
        <v>92</v>
      </c>
      <c r="P76" s="7" t="s">
        <v>789</v>
      </c>
    </row>
    <row r="77" customFormat="false" ht="15.75" hidden="false" customHeight="true" outlineLevel="0" collapsed="false">
      <c r="A77" s="7" t="s">
        <v>790</v>
      </c>
      <c r="B77" s="7" t="s">
        <v>122</v>
      </c>
      <c r="C77" s="7" t="s">
        <v>767</v>
      </c>
      <c r="D77" s="7" t="s">
        <v>791</v>
      </c>
      <c r="E77" s="7" t="s">
        <v>792</v>
      </c>
      <c r="F77" s="7" t="s">
        <v>521</v>
      </c>
      <c r="G77" s="7" t="s">
        <v>793</v>
      </c>
      <c r="H77" s="7" t="s">
        <v>794</v>
      </c>
      <c r="I77" s="7" t="s">
        <v>795</v>
      </c>
      <c r="J77" s="7" t="s">
        <v>796</v>
      </c>
      <c r="K77" s="7" t="s">
        <v>797</v>
      </c>
      <c r="L77" s="7" t="s">
        <v>798</v>
      </c>
      <c r="M77" s="7" t="s">
        <v>799</v>
      </c>
      <c r="N77" s="7" t="s">
        <v>70</v>
      </c>
      <c r="O77" s="7" t="s">
        <v>92</v>
      </c>
      <c r="P77" s="7" t="s">
        <v>800</v>
      </c>
    </row>
    <row r="78" customFormat="false" ht="15.75" hidden="false" customHeight="true" outlineLevel="0" collapsed="false">
      <c r="A78" s="7" t="s">
        <v>801</v>
      </c>
      <c r="B78" s="7" t="s">
        <v>30</v>
      </c>
      <c r="C78" s="7" t="s">
        <v>767</v>
      </c>
      <c r="D78" s="7" t="s">
        <v>802</v>
      </c>
      <c r="E78" s="7" t="s">
        <v>803</v>
      </c>
      <c r="F78" s="7" t="s">
        <v>249</v>
      </c>
      <c r="G78" s="7" t="s">
        <v>804</v>
      </c>
      <c r="H78" s="7" t="s">
        <v>805</v>
      </c>
      <c r="I78" s="7" t="s">
        <v>806</v>
      </c>
      <c r="J78" s="7" t="s">
        <v>807</v>
      </c>
      <c r="K78" s="7" t="s">
        <v>808</v>
      </c>
      <c r="L78" s="7" t="s">
        <v>809</v>
      </c>
      <c r="M78" s="7" t="s">
        <v>810</v>
      </c>
      <c r="N78" s="7" t="s">
        <v>70</v>
      </c>
      <c r="O78" s="7" t="s">
        <v>811</v>
      </c>
      <c r="P78" s="7" t="s">
        <v>812</v>
      </c>
    </row>
    <row r="79" customFormat="false" ht="15.75" hidden="false" customHeight="true" outlineLevel="0" collapsed="false">
      <c r="A79" s="7" t="s">
        <v>813</v>
      </c>
      <c r="B79" s="7" t="s">
        <v>122</v>
      </c>
      <c r="C79" s="7" t="s">
        <v>767</v>
      </c>
      <c r="D79" s="7" t="s">
        <v>814</v>
      </c>
      <c r="E79" s="7" t="s">
        <v>815</v>
      </c>
      <c r="F79" s="7" t="s">
        <v>260</v>
      </c>
      <c r="G79" s="7" t="s">
        <v>816</v>
      </c>
      <c r="H79" s="7" t="s">
        <v>817</v>
      </c>
      <c r="I79" s="7" t="s">
        <v>818</v>
      </c>
      <c r="J79" s="7" t="s">
        <v>819</v>
      </c>
      <c r="K79" s="7" t="s">
        <v>820</v>
      </c>
      <c r="L79" s="7" t="s">
        <v>821</v>
      </c>
      <c r="M79" s="7" t="s">
        <v>822</v>
      </c>
      <c r="N79" s="7" t="s">
        <v>70</v>
      </c>
      <c r="O79" s="7" t="s">
        <v>92</v>
      </c>
      <c r="P79" s="7" t="s">
        <v>823</v>
      </c>
    </row>
    <row r="80" customFormat="false" ht="15.75" hidden="false" customHeight="true" outlineLevel="0" collapsed="false">
      <c r="A80" s="7" t="s">
        <v>824</v>
      </c>
      <c r="B80" s="7" t="s">
        <v>30</v>
      </c>
      <c r="C80" s="7" t="s">
        <v>825</v>
      </c>
      <c r="D80" s="7" t="s">
        <v>826</v>
      </c>
      <c r="E80" s="7" t="s">
        <v>827</v>
      </c>
      <c r="F80" s="7" t="s">
        <v>828</v>
      </c>
      <c r="G80" s="7" t="s">
        <v>829</v>
      </c>
      <c r="H80" s="7" t="s">
        <v>830</v>
      </c>
      <c r="I80" s="7" t="s">
        <v>831</v>
      </c>
      <c r="J80" s="7" t="s">
        <v>832</v>
      </c>
      <c r="K80" s="7" t="s">
        <v>80</v>
      </c>
      <c r="L80" s="7" t="s">
        <v>833</v>
      </c>
      <c r="M80" s="7" t="s">
        <v>834</v>
      </c>
      <c r="N80" s="7" t="s">
        <v>70</v>
      </c>
      <c r="O80" s="7" t="s">
        <v>92</v>
      </c>
      <c r="P80" s="7" t="s">
        <v>835</v>
      </c>
    </row>
    <row r="81" customFormat="false" ht="15.75" hidden="false" customHeight="true" outlineLevel="0" collapsed="false">
      <c r="A81" s="7" t="s">
        <v>836</v>
      </c>
      <c r="B81" s="7" t="s">
        <v>30</v>
      </c>
      <c r="C81" s="7" t="s">
        <v>825</v>
      </c>
      <c r="D81" s="7" t="s">
        <v>837</v>
      </c>
      <c r="E81" s="7" t="s">
        <v>838</v>
      </c>
      <c r="F81" s="7" t="s">
        <v>95</v>
      </c>
      <c r="G81" s="7" t="s">
        <v>839</v>
      </c>
      <c r="H81" s="7" t="s">
        <v>840</v>
      </c>
      <c r="I81" s="7" t="s">
        <v>841</v>
      </c>
      <c r="J81" s="7" t="s">
        <v>842</v>
      </c>
      <c r="K81" s="7" t="s">
        <v>80</v>
      </c>
      <c r="L81" s="7" t="s">
        <v>843</v>
      </c>
      <c r="M81" s="7" t="s">
        <v>844</v>
      </c>
      <c r="N81" s="7" t="s">
        <v>219</v>
      </c>
      <c r="O81" s="7" t="s">
        <v>92</v>
      </c>
      <c r="P81" s="7" t="s">
        <v>845</v>
      </c>
    </row>
    <row r="82" customFormat="false" ht="15.75" hidden="false" customHeight="true" outlineLevel="0" collapsed="false">
      <c r="A82" s="7" t="s">
        <v>846</v>
      </c>
      <c r="B82" s="7" t="s">
        <v>122</v>
      </c>
      <c r="C82" s="7" t="s">
        <v>825</v>
      </c>
      <c r="D82" s="7" t="s">
        <v>847</v>
      </c>
      <c r="E82" s="7" t="s">
        <v>848</v>
      </c>
      <c r="F82" s="7" t="s">
        <v>95</v>
      </c>
      <c r="G82" s="7" t="s">
        <v>849</v>
      </c>
      <c r="H82" s="7" t="s">
        <v>850</v>
      </c>
      <c r="I82" s="7" t="s">
        <v>851</v>
      </c>
      <c r="J82" s="7" t="s">
        <v>852</v>
      </c>
      <c r="K82" s="7" t="s">
        <v>853</v>
      </c>
      <c r="L82" s="7" t="s">
        <v>854</v>
      </c>
      <c r="M82" s="7" t="s">
        <v>855</v>
      </c>
      <c r="N82" s="7" t="s">
        <v>219</v>
      </c>
      <c r="O82" s="7" t="s">
        <v>220</v>
      </c>
      <c r="P82" s="7" t="s">
        <v>856</v>
      </c>
    </row>
    <row r="83" customFormat="false" ht="15.75" hidden="false" customHeight="true" outlineLevel="0" collapsed="false">
      <c r="A83" s="7" t="s">
        <v>857</v>
      </c>
      <c r="B83" s="7" t="s">
        <v>30</v>
      </c>
      <c r="C83" s="7" t="s">
        <v>858</v>
      </c>
      <c r="D83" s="7" t="s">
        <v>859</v>
      </c>
      <c r="E83" s="7" t="s">
        <v>860</v>
      </c>
      <c r="F83" s="7" t="s">
        <v>758</v>
      </c>
      <c r="G83" s="7" t="s">
        <v>861</v>
      </c>
      <c r="H83" s="7" t="s">
        <v>862</v>
      </c>
      <c r="I83" s="7" t="s">
        <v>863</v>
      </c>
      <c r="J83" s="7" t="s">
        <v>864</v>
      </c>
      <c r="K83" s="7" t="s">
        <v>865</v>
      </c>
      <c r="L83" s="7" t="s">
        <v>866</v>
      </c>
      <c r="M83" s="7" t="s">
        <v>867</v>
      </c>
      <c r="N83" s="7" t="s">
        <v>70</v>
      </c>
      <c r="O83" s="7" t="s">
        <v>71</v>
      </c>
      <c r="P83" s="7" t="s">
        <v>800</v>
      </c>
    </row>
    <row r="84" customFormat="false" ht="15.75" hidden="false" customHeight="true" outlineLevel="0" collapsed="false">
      <c r="A84" s="7" t="s">
        <v>868</v>
      </c>
      <c r="B84" s="7" t="s">
        <v>122</v>
      </c>
      <c r="C84" s="7" t="s">
        <v>858</v>
      </c>
      <c r="D84" s="7" t="s">
        <v>869</v>
      </c>
      <c r="E84" s="7" t="s">
        <v>870</v>
      </c>
      <c r="F84" s="7" t="s">
        <v>315</v>
      </c>
      <c r="G84" s="7" t="s">
        <v>871</v>
      </c>
      <c r="H84" s="7" t="s">
        <v>872</v>
      </c>
      <c r="I84" s="7" t="s">
        <v>873</v>
      </c>
      <c r="J84" s="7" t="s">
        <v>874</v>
      </c>
      <c r="K84" s="7" t="s">
        <v>875</v>
      </c>
      <c r="L84" s="7" t="s">
        <v>876</v>
      </c>
      <c r="M84" s="7" t="s">
        <v>877</v>
      </c>
      <c r="N84" s="7" t="s">
        <v>70</v>
      </c>
      <c r="O84" s="7" t="s">
        <v>878</v>
      </c>
      <c r="P84" s="7" t="s">
        <v>879</v>
      </c>
    </row>
    <row r="85" customFormat="false" ht="15.75" hidden="false" customHeight="true" outlineLevel="0" collapsed="false">
      <c r="A85" s="7" t="s">
        <v>880</v>
      </c>
      <c r="B85" s="7" t="s">
        <v>122</v>
      </c>
      <c r="C85" s="7" t="s">
        <v>858</v>
      </c>
      <c r="D85" s="7" t="s">
        <v>881</v>
      </c>
      <c r="E85" s="7" t="s">
        <v>882</v>
      </c>
      <c r="F85" s="7" t="s">
        <v>758</v>
      </c>
      <c r="G85" s="7" t="s">
        <v>883</v>
      </c>
      <c r="H85" s="7" t="s">
        <v>884</v>
      </c>
      <c r="I85" s="7" t="s">
        <v>885</v>
      </c>
      <c r="J85" s="7" t="s">
        <v>886</v>
      </c>
      <c r="K85" s="7" t="s">
        <v>887</v>
      </c>
      <c r="L85" s="7" t="s">
        <v>888</v>
      </c>
      <c r="M85" s="7" t="s">
        <v>889</v>
      </c>
      <c r="N85" s="7" t="s">
        <v>70</v>
      </c>
      <c r="O85" s="7" t="s">
        <v>92</v>
      </c>
      <c r="P85" s="7" t="s">
        <v>890</v>
      </c>
    </row>
    <row r="86" customFormat="false" ht="15.75" hidden="false" customHeight="true" outlineLevel="0" collapsed="false">
      <c r="A86" s="7" t="s">
        <v>891</v>
      </c>
      <c r="B86" s="7" t="s">
        <v>30</v>
      </c>
      <c r="C86" s="7" t="s">
        <v>892</v>
      </c>
      <c r="D86" s="7" t="s">
        <v>893</v>
      </c>
      <c r="E86" s="7" t="s">
        <v>894</v>
      </c>
      <c r="F86" s="7" t="s">
        <v>895</v>
      </c>
      <c r="G86" s="7" t="s">
        <v>896</v>
      </c>
      <c r="H86" s="7" t="s">
        <v>897</v>
      </c>
      <c r="I86" s="7"/>
      <c r="J86" s="7" t="s">
        <v>898</v>
      </c>
      <c r="K86" s="7" t="s">
        <v>899</v>
      </c>
      <c r="L86" s="7" t="s">
        <v>900</v>
      </c>
      <c r="M86" s="7" t="s">
        <v>901</v>
      </c>
      <c r="N86" s="7" t="s">
        <v>902</v>
      </c>
      <c r="O86" s="7" t="s">
        <v>903</v>
      </c>
      <c r="P86" s="7" t="s">
        <v>904</v>
      </c>
    </row>
    <row r="87" customFormat="false" ht="15.75" hidden="false" customHeight="true" outlineLevel="0" collapsed="false">
      <c r="A87" s="7" t="s">
        <v>905</v>
      </c>
      <c r="B87" s="7" t="s">
        <v>30</v>
      </c>
      <c r="C87" s="7" t="s">
        <v>892</v>
      </c>
      <c r="D87" s="7" t="s">
        <v>906</v>
      </c>
      <c r="E87" s="7" t="s">
        <v>907</v>
      </c>
      <c r="F87" s="7" t="s">
        <v>113</v>
      </c>
      <c r="G87" s="7" t="s">
        <v>908</v>
      </c>
      <c r="H87" s="7" t="s">
        <v>909</v>
      </c>
      <c r="I87" s="7" t="s">
        <v>910</v>
      </c>
      <c r="J87" s="7" t="s">
        <v>911</v>
      </c>
      <c r="K87" s="7" t="s">
        <v>912</v>
      </c>
      <c r="L87" s="7" t="s">
        <v>913</v>
      </c>
      <c r="M87" s="7" t="s">
        <v>914</v>
      </c>
      <c r="N87" s="7" t="s">
        <v>70</v>
      </c>
      <c r="O87" s="7" t="s">
        <v>92</v>
      </c>
      <c r="P87" s="7" t="s">
        <v>915</v>
      </c>
    </row>
    <row r="88" customFormat="false" ht="15.75" hidden="false" customHeight="true" outlineLevel="0" collapsed="false">
      <c r="A88" s="7" t="s">
        <v>916</v>
      </c>
      <c r="B88" s="7" t="s">
        <v>122</v>
      </c>
      <c r="C88" s="7" t="s">
        <v>892</v>
      </c>
      <c r="D88" s="7" t="s">
        <v>917</v>
      </c>
      <c r="E88" s="7" t="s">
        <v>918</v>
      </c>
      <c r="F88" s="7" t="s">
        <v>315</v>
      </c>
      <c r="G88" s="7" t="s">
        <v>919</v>
      </c>
      <c r="H88" s="7" t="s">
        <v>920</v>
      </c>
      <c r="I88" s="7" t="s">
        <v>921</v>
      </c>
      <c r="J88" s="7" t="s">
        <v>922</v>
      </c>
      <c r="K88" s="7" t="s">
        <v>923</v>
      </c>
      <c r="L88" s="7" t="s">
        <v>924</v>
      </c>
      <c r="M88" s="7" t="s">
        <v>925</v>
      </c>
      <c r="N88" s="7" t="s">
        <v>70</v>
      </c>
      <c r="O88" s="7" t="s">
        <v>92</v>
      </c>
      <c r="P88" s="7" t="s">
        <v>926</v>
      </c>
    </row>
    <row r="89" customFormat="false" ht="15.75" hidden="false" customHeight="true" outlineLevel="0" collapsed="false">
      <c r="A89" s="7" t="s">
        <v>927</v>
      </c>
      <c r="B89" s="7" t="s">
        <v>122</v>
      </c>
      <c r="C89" s="7" t="s">
        <v>892</v>
      </c>
      <c r="D89" s="7" t="s">
        <v>928</v>
      </c>
      <c r="E89" s="7" t="s">
        <v>612</v>
      </c>
      <c r="F89" s="7" t="s">
        <v>113</v>
      </c>
      <c r="G89" s="7" t="s">
        <v>929</v>
      </c>
      <c r="H89" s="7" t="s">
        <v>930</v>
      </c>
      <c r="I89" s="7" t="s">
        <v>615</v>
      </c>
      <c r="J89" s="7" t="s">
        <v>616</v>
      </c>
      <c r="K89" s="7" t="s">
        <v>118</v>
      </c>
      <c r="L89" s="7" t="s">
        <v>931</v>
      </c>
      <c r="M89" s="7" t="s">
        <v>932</v>
      </c>
      <c r="N89" s="7" t="s">
        <v>70</v>
      </c>
      <c r="O89" s="7" t="s">
        <v>933</v>
      </c>
      <c r="P89" s="7" t="s">
        <v>934</v>
      </c>
    </row>
    <row r="90" customFormat="false" ht="15.75" hidden="false" customHeight="true" outlineLevel="0" collapsed="false">
      <c r="A90" s="7" t="s">
        <v>935</v>
      </c>
      <c r="B90" s="7" t="s">
        <v>177</v>
      </c>
      <c r="C90" s="7" t="s">
        <v>892</v>
      </c>
      <c r="D90" s="7" t="s">
        <v>936</v>
      </c>
      <c r="E90" s="7" t="s">
        <v>937</v>
      </c>
      <c r="F90" s="7" t="s">
        <v>62</v>
      </c>
      <c r="G90" s="7" t="s">
        <v>938</v>
      </c>
      <c r="H90" s="7" t="s">
        <v>939</v>
      </c>
      <c r="I90" s="7" t="s">
        <v>940</v>
      </c>
      <c r="J90" s="7" t="s">
        <v>941</v>
      </c>
      <c r="K90" s="7" t="s">
        <v>942</v>
      </c>
      <c r="L90" s="7" t="s">
        <v>943</v>
      </c>
      <c r="M90" s="7" t="s">
        <v>944</v>
      </c>
      <c r="N90" s="7" t="s">
        <v>70</v>
      </c>
      <c r="O90" s="7" t="s">
        <v>220</v>
      </c>
      <c r="P90" s="7" t="s">
        <v>945</v>
      </c>
    </row>
    <row r="91" customFormat="false" ht="15.75" hidden="false" customHeight="true" outlineLevel="0" collapsed="false">
      <c r="A91" s="7" t="s">
        <v>946</v>
      </c>
      <c r="B91" s="7" t="s">
        <v>30</v>
      </c>
      <c r="C91" s="7" t="s">
        <v>947</v>
      </c>
      <c r="D91" s="7" t="s">
        <v>948</v>
      </c>
      <c r="E91" s="7" t="s">
        <v>949</v>
      </c>
      <c r="F91" s="7" t="s">
        <v>211</v>
      </c>
      <c r="G91" s="7" t="s">
        <v>950</v>
      </c>
      <c r="H91" s="7" t="s">
        <v>951</v>
      </c>
      <c r="I91" s="7"/>
      <c r="J91" s="7" t="s">
        <v>952</v>
      </c>
      <c r="K91" s="7" t="s">
        <v>953</v>
      </c>
      <c r="L91" s="7" t="s">
        <v>954</v>
      </c>
      <c r="M91" s="7" t="s">
        <v>955</v>
      </c>
      <c r="N91" s="7" t="s">
        <v>956</v>
      </c>
      <c r="O91" s="7" t="s">
        <v>957</v>
      </c>
      <c r="P91" s="7" t="s">
        <v>958</v>
      </c>
    </row>
    <row r="92" customFormat="false" ht="15.75" hidden="false" customHeight="true" outlineLevel="0" collapsed="false">
      <c r="A92" s="7" t="s">
        <v>959</v>
      </c>
      <c r="B92" s="7" t="s">
        <v>30</v>
      </c>
      <c r="C92" s="7" t="s">
        <v>947</v>
      </c>
      <c r="D92" s="7" t="s">
        <v>960</v>
      </c>
      <c r="E92" s="7" t="s">
        <v>961</v>
      </c>
      <c r="F92" s="7" t="s">
        <v>146</v>
      </c>
      <c r="G92" s="7" t="s">
        <v>962</v>
      </c>
      <c r="H92" s="7" t="s">
        <v>963</v>
      </c>
      <c r="I92" s="7" t="s">
        <v>964</v>
      </c>
      <c r="J92" s="7" t="s">
        <v>965</v>
      </c>
      <c r="K92" s="7" t="s">
        <v>966</v>
      </c>
      <c r="L92" s="7" t="s">
        <v>967</v>
      </c>
      <c r="M92" s="7" t="s">
        <v>968</v>
      </c>
      <c r="N92" s="7" t="s">
        <v>70</v>
      </c>
      <c r="O92" s="7" t="s">
        <v>71</v>
      </c>
      <c r="P92" s="7" t="s">
        <v>969</v>
      </c>
    </row>
    <row r="93" customFormat="false" ht="15.75" hidden="false" customHeight="true" outlineLevel="0" collapsed="false">
      <c r="A93" s="7" t="s">
        <v>970</v>
      </c>
      <c r="B93" s="7" t="s">
        <v>30</v>
      </c>
      <c r="C93" s="7" t="s">
        <v>947</v>
      </c>
      <c r="D93" s="7" t="s">
        <v>971</v>
      </c>
      <c r="E93" s="7" t="s">
        <v>972</v>
      </c>
      <c r="F93" s="7" t="s">
        <v>237</v>
      </c>
      <c r="G93" s="7" t="s">
        <v>973</v>
      </c>
      <c r="H93" s="7" t="s">
        <v>974</v>
      </c>
      <c r="I93" s="7" t="s">
        <v>975</v>
      </c>
      <c r="J93" s="7" t="s">
        <v>976</v>
      </c>
      <c r="K93" s="7" t="s">
        <v>977</v>
      </c>
      <c r="L93" s="7" t="s">
        <v>978</v>
      </c>
      <c r="M93" s="7" t="s">
        <v>979</v>
      </c>
      <c r="N93" s="7" t="s">
        <v>70</v>
      </c>
      <c r="O93" s="7" t="s">
        <v>92</v>
      </c>
      <c r="P93" s="7" t="s">
        <v>980</v>
      </c>
    </row>
    <row r="94" customFormat="false" ht="15.75" hidden="false" customHeight="true" outlineLevel="0" collapsed="false">
      <c r="A94" s="7" t="s">
        <v>981</v>
      </c>
      <c r="B94" s="7" t="s">
        <v>122</v>
      </c>
      <c r="C94" s="7" t="s">
        <v>947</v>
      </c>
      <c r="D94" s="7" t="s">
        <v>982</v>
      </c>
      <c r="E94" s="7" t="s">
        <v>983</v>
      </c>
      <c r="F94" s="7" t="s">
        <v>225</v>
      </c>
      <c r="G94" s="7" t="s">
        <v>984</v>
      </c>
      <c r="H94" s="7" t="s">
        <v>985</v>
      </c>
      <c r="I94" s="7" t="s">
        <v>986</v>
      </c>
      <c r="J94" s="7" t="s">
        <v>987</v>
      </c>
      <c r="K94" s="7" t="s">
        <v>988</v>
      </c>
      <c r="L94" s="7" t="s">
        <v>989</v>
      </c>
      <c r="M94" s="7" t="s">
        <v>990</v>
      </c>
      <c r="N94" s="7" t="s">
        <v>70</v>
      </c>
      <c r="O94" s="7" t="s">
        <v>220</v>
      </c>
      <c r="P94" s="7" t="s">
        <v>991</v>
      </c>
    </row>
    <row r="95" customFormat="false" ht="15.75" hidden="false" customHeight="true" outlineLevel="0" collapsed="false">
      <c r="A95" s="7" t="s">
        <v>992</v>
      </c>
      <c r="B95" s="7" t="s">
        <v>30</v>
      </c>
      <c r="C95" s="7" t="s">
        <v>947</v>
      </c>
      <c r="D95" s="7" t="s">
        <v>993</v>
      </c>
      <c r="E95" s="7" t="s">
        <v>994</v>
      </c>
      <c r="F95" s="7" t="s">
        <v>249</v>
      </c>
      <c r="G95" s="7" t="s">
        <v>995</v>
      </c>
      <c r="H95" s="7" t="s">
        <v>996</v>
      </c>
      <c r="I95" s="7" t="s">
        <v>997</v>
      </c>
      <c r="J95" s="7" t="s">
        <v>998</v>
      </c>
      <c r="K95" s="7" t="s">
        <v>999</v>
      </c>
      <c r="L95" s="7" t="s">
        <v>1000</v>
      </c>
      <c r="M95" s="7" t="s">
        <v>1001</v>
      </c>
      <c r="N95" s="7" t="s">
        <v>70</v>
      </c>
      <c r="O95" s="7" t="s">
        <v>92</v>
      </c>
      <c r="P95" s="7" t="s">
        <v>1002</v>
      </c>
    </row>
    <row r="96" customFormat="false" ht="15.75" hidden="false" customHeight="true" outlineLevel="0" collapsed="false">
      <c r="A96" s="7" t="s">
        <v>1003</v>
      </c>
      <c r="B96" s="7" t="s">
        <v>122</v>
      </c>
      <c r="C96" s="7" t="s">
        <v>947</v>
      </c>
      <c r="D96" s="7" t="s">
        <v>1004</v>
      </c>
      <c r="E96" s="7" t="s">
        <v>1005</v>
      </c>
      <c r="F96" s="7" t="s">
        <v>156</v>
      </c>
      <c r="G96" s="7" t="s">
        <v>1006</v>
      </c>
      <c r="H96" s="7" t="s">
        <v>1007</v>
      </c>
      <c r="I96" s="7" t="s">
        <v>1008</v>
      </c>
      <c r="J96" s="7" t="s">
        <v>1009</v>
      </c>
      <c r="K96" s="7" t="s">
        <v>999</v>
      </c>
      <c r="L96" s="7" t="s">
        <v>1010</v>
      </c>
      <c r="M96" s="7" t="s">
        <v>1011</v>
      </c>
      <c r="N96" s="7" t="s">
        <v>70</v>
      </c>
      <c r="O96" s="7" t="s">
        <v>1012</v>
      </c>
      <c r="P96" s="7" t="s">
        <v>1013</v>
      </c>
    </row>
    <row r="97" customFormat="false" ht="15.75" hidden="false" customHeight="true" outlineLevel="0" collapsed="false">
      <c r="A97" s="7" t="s">
        <v>1014</v>
      </c>
      <c r="B97" s="7" t="s">
        <v>177</v>
      </c>
      <c r="C97" s="7" t="s">
        <v>947</v>
      </c>
      <c r="D97" s="7" t="s">
        <v>1015</v>
      </c>
      <c r="E97" s="7" t="s">
        <v>1016</v>
      </c>
      <c r="F97" s="7" t="s">
        <v>62</v>
      </c>
      <c r="G97" s="7" t="s">
        <v>1017</v>
      </c>
      <c r="H97" s="7" t="s">
        <v>1018</v>
      </c>
      <c r="I97" s="7" t="s">
        <v>1019</v>
      </c>
      <c r="J97" s="7" t="s">
        <v>1020</v>
      </c>
      <c r="K97" s="7" t="s">
        <v>999</v>
      </c>
      <c r="L97" s="7" t="s">
        <v>1021</v>
      </c>
      <c r="M97" s="7" t="s">
        <v>1022</v>
      </c>
      <c r="N97" s="7" t="s">
        <v>70</v>
      </c>
      <c r="O97" s="7" t="s">
        <v>220</v>
      </c>
      <c r="P97" s="7" t="s">
        <v>1013</v>
      </c>
    </row>
    <row r="98" customFormat="false" ht="15.75" hidden="false" customHeight="true" outlineLevel="0" collapsed="false">
      <c r="A98" s="7" t="s">
        <v>1023</v>
      </c>
      <c r="B98" s="7" t="s">
        <v>122</v>
      </c>
      <c r="C98" s="7" t="s">
        <v>947</v>
      </c>
      <c r="D98" s="7" t="s">
        <v>1024</v>
      </c>
      <c r="E98" s="7" t="s">
        <v>1025</v>
      </c>
      <c r="F98" s="7" t="s">
        <v>225</v>
      </c>
      <c r="G98" s="7" t="s">
        <v>1026</v>
      </c>
      <c r="H98" s="7" t="s">
        <v>1027</v>
      </c>
      <c r="I98" s="7" t="s">
        <v>1028</v>
      </c>
      <c r="J98" s="7" t="s">
        <v>1029</v>
      </c>
      <c r="K98" s="7" t="s">
        <v>1030</v>
      </c>
      <c r="L98" s="7" t="s">
        <v>1031</v>
      </c>
      <c r="M98" s="7" t="s">
        <v>1032</v>
      </c>
      <c r="N98" s="7" t="s">
        <v>70</v>
      </c>
      <c r="O98" s="7" t="s">
        <v>220</v>
      </c>
      <c r="P98" s="7" t="s">
        <v>1033</v>
      </c>
    </row>
    <row r="99" customFormat="false" ht="15.75" hidden="false" customHeight="true" outlineLevel="0" collapsed="false">
      <c r="A99" s="7" t="s">
        <v>1034</v>
      </c>
      <c r="B99" s="7" t="s">
        <v>122</v>
      </c>
      <c r="C99" s="7" t="s">
        <v>947</v>
      </c>
      <c r="D99" s="7" t="s">
        <v>1035</v>
      </c>
      <c r="E99" s="7" t="s">
        <v>1036</v>
      </c>
      <c r="F99" s="7" t="s">
        <v>260</v>
      </c>
      <c r="G99" s="7" t="s">
        <v>1037</v>
      </c>
      <c r="H99" s="7" t="s">
        <v>1038</v>
      </c>
      <c r="I99" s="7" t="s">
        <v>1039</v>
      </c>
      <c r="J99" s="7" t="s">
        <v>1040</v>
      </c>
      <c r="K99" s="7" t="s">
        <v>1041</v>
      </c>
      <c r="L99" s="7" t="s">
        <v>1042</v>
      </c>
      <c r="M99" s="7" t="s">
        <v>1043</v>
      </c>
      <c r="N99" s="7" t="s">
        <v>70</v>
      </c>
      <c r="O99" s="7" t="s">
        <v>92</v>
      </c>
      <c r="P99" s="7" t="s">
        <v>1044</v>
      </c>
    </row>
    <row r="100" customFormat="false" ht="15.75" hidden="false" customHeight="true" outlineLevel="0" collapsed="false">
      <c r="A100" s="7" t="s">
        <v>1045</v>
      </c>
      <c r="B100" s="7" t="s">
        <v>30</v>
      </c>
      <c r="C100" s="7" t="s">
        <v>1046</v>
      </c>
      <c r="D100" s="7" t="s">
        <v>1047</v>
      </c>
      <c r="E100" s="7" t="s">
        <v>1048</v>
      </c>
      <c r="F100" s="7" t="s">
        <v>180</v>
      </c>
      <c r="G100" s="7" t="s">
        <v>1049</v>
      </c>
      <c r="H100" s="7" t="s">
        <v>1050</v>
      </c>
      <c r="I100" s="7" t="s">
        <v>1051</v>
      </c>
      <c r="J100" s="7" t="s">
        <v>1052</v>
      </c>
      <c r="K100" s="7" t="s">
        <v>1053</v>
      </c>
      <c r="L100" s="7" t="s">
        <v>1054</v>
      </c>
      <c r="M100" s="7" t="s">
        <v>1055</v>
      </c>
      <c r="N100" s="7" t="s">
        <v>70</v>
      </c>
      <c r="O100" s="7" t="s">
        <v>1056</v>
      </c>
      <c r="P100" s="7" t="s">
        <v>1057</v>
      </c>
    </row>
    <row r="101" customFormat="false" ht="15.75" hidden="false" customHeight="true" outlineLevel="0" collapsed="false">
      <c r="A101" s="7" t="s">
        <v>1058</v>
      </c>
      <c r="B101" s="7" t="s">
        <v>30</v>
      </c>
      <c r="C101" s="7" t="s">
        <v>1046</v>
      </c>
      <c r="D101" s="7" t="s">
        <v>1059</v>
      </c>
      <c r="E101" s="7" t="s">
        <v>1060</v>
      </c>
      <c r="F101" s="7" t="s">
        <v>113</v>
      </c>
      <c r="G101" s="7" t="s">
        <v>1061</v>
      </c>
      <c r="H101" s="7" t="s">
        <v>1062</v>
      </c>
      <c r="I101" s="7" t="s">
        <v>1063</v>
      </c>
      <c r="J101" s="7" t="s">
        <v>1064</v>
      </c>
      <c r="K101" s="7" t="s">
        <v>1065</v>
      </c>
      <c r="L101" s="7" t="s">
        <v>1066</v>
      </c>
      <c r="M101" s="7" t="s">
        <v>1067</v>
      </c>
      <c r="N101" s="7" t="s">
        <v>1068</v>
      </c>
      <c r="O101" s="7" t="s">
        <v>1069</v>
      </c>
      <c r="P101" s="7" t="s">
        <v>1070</v>
      </c>
    </row>
    <row r="102" customFormat="false" ht="15.75" hidden="false" customHeight="true" outlineLevel="0" collapsed="false">
      <c r="A102" s="7" t="s">
        <v>1071</v>
      </c>
      <c r="B102" s="7" t="s">
        <v>122</v>
      </c>
      <c r="C102" s="7" t="s">
        <v>1046</v>
      </c>
      <c r="D102" s="7" t="s">
        <v>1072</v>
      </c>
      <c r="E102" s="7" t="s">
        <v>1073</v>
      </c>
      <c r="F102" s="7" t="s">
        <v>429</v>
      </c>
      <c r="G102" s="7" t="s">
        <v>1074</v>
      </c>
      <c r="H102" s="7" t="s">
        <v>1075</v>
      </c>
      <c r="I102" s="7" t="s">
        <v>1076</v>
      </c>
      <c r="J102" s="7" t="s">
        <v>1077</v>
      </c>
      <c r="K102" s="7" t="s">
        <v>1078</v>
      </c>
      <c r="L102" s="7" t="s">
        <v>1079</v>
      </c>
      <c r="M102" s="7" t="s">
        <v>1080</v>
      </c>
      <c r="N102" s="7" t="s">
        <v>1068</v>
      </c>
      <c r="O102" s="7" t="s">
        <v>1069</v>
      </c>
      <c r="P102" s="7" t="s">
        <v>1081</v>
      </c>
    </row>
    <row r="103" customFormat="false" ht="15.75" hidden="false" customHeight="true" outlineLevel="0" collapsed="false">
      <c r="A103" s="7" t="s">
        <v>1082</v>
      </c>
      <c r="B103" s="7" t="s">
        <v>122</v>
      </c>
      <c r="C103" s="7" t="s">
        <v>1083</v>
      </c>
      <c r="D103" s="7" t="s">
        <v>1084</v>
      </c>
      <c r="E103" s="7" t="s">
        <v>1085</v>
      </c>
      <c r="F103" s="7" t="s">
        <v>357</v>
      </c>
      <c r="G103" s="7" t="s">
        <v>1086</v>
      </c>
      <c r="H103" s="7" t="s">
        <v>1087</v>
      </c>
      <c r="I103" s="7"/>
      <c r="J103" s="7" t="s">
        <v>1088</v>
      </c>
      <c r="K103" s="7" t="s">
        <v>1089</v>
      </c>
      <c r="L103" s="7" t="s">
        <v>1090</v>
      </c>
      <c r="M103" s="7" t="s">
        <v>1091</v>
      </c>
      <c r="N103" s="7" t="s">
        <v>1092</v>
      </c>
      <c r="O103" s="7" t="s">
        <v>1093</v>
      </c>
      <c r="P103" s="7" t="s">
        <v>1094</v>
      </c>
    </row>
    <row r="104" customFormat="false" ht="15.75" hidden="false" customHeight="true" outlineLevel="0" collapsed="false">
      <c r="A104" s="7" t="s">
        <v>1095</v>
      </c>
      <c r="B104" s="7" t="s">
        <v>122</v>
      </c>
      <c r="C104" s="7" t="s">
        <v>1083</v>
      </c>
      <c r="D104" s="7" t="s">
        <v>1096</v>
      </c>
      <c r="E104" s="7" t="s">
        <v>1097</v>
      </c>
      <c r="F104" s="7" t="s">
        <v>95</v>
      </c>
      <c r="G104" s="7" t="s">
        <v>1098</v>
      </c>
      <c r="H104" s="7" t="s">
        <v>1099</v>
      </c>
      <c r="I104" s="7" t="s">
        <v>1100</v>
      </c>
      <c r="J104" s="7" t="s">
        <v>1101</v>
      </c>
      <c r="K104" s="7" t="s">
        <v>1102</v>
      </c>
      <c r="L104" s="7" t="s">
        <v>1103</v>
      </c>
      <c r="M104" s="7" t="s">
        <v>1104</v>
      </c>
      <c r="N104" s="7" t="s">
        <v>70</v>
      </c>
      <c r="O104" s="7" t="s">
        <v>92</v>
      </c>
      <c r="P104" s="7" t="s">
        <v>1105</v>
      </c>
    </row>
    <row r="105" customFormat="false" ht="15.75" hidden="false" customHeight="true" outlineLevel="0" collapsed="false">
      <c r="A105" s="7" t="s">
        <v>1106</v>
      </c>
      <c r="B105" s="7" t="s">
        <v>30</v>
      </c>
      <c r="C105" s="7" t="s">
        <v>1083</v>
      </c>
      <c r="D105" s="7" t="s">
        <v>1107</v>
      </c>
      <c r="E105" s="7" t="s">
        <v>1108</v>
      </c>
      <c r="F105" s="7" t="s">
        <v>180</v>
      </c>
      <c r="G105" s="7" t="s">
        <v>1109</v>
      </c>
      <c r="H105" s="7" t="s">
        <v>1110</v>
      </c>
      <c r="I105" s="7" t="s">
        <v>1111</v>
      </c>
      <c r="J105" s="7" t="s">
        <v>1112</v>
      </c>
      <c r="K105" s="7" t="s">
        <v>1102</v>
      </c>
      <c r="L105" s="7" t="s">
        <v>1113</v>
      </c>
      <c r="M105" s="7" t="s">
        <v>1114</v>
      </c>
      <c r="N105" s="7" t="s">
        <v>1115</v>
      </c>
      <c r="O105" s="7" t="s">
        <v>1116</v>
      </c>
      <c r="P105" s="7" t="s">
        <v>1117</v>
      </c>
    </row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conditionalFormatting sqref="B2:B74">
    <cfRule type="expression" priority="2" aboveAverage="0" equalAverage="0" bottom="0" percent="0" rank="0" text="" dxfId="7">
      <formula>B2="Core"</formula>
    </cfRule>
    <cfRule type="expression" priority="3" aboveAverage="0" equalAverage="0" bottom="0" percent="0" rank="0" text="" dxfId="8">
      <formula>B2="High"</formula>
    </cfRule>
  </conditionalFormatting>
  <conditionalFormatting sqref="O2:O74">
    <cfRule type="expression" priority="4" aboveAverage="0" equalAverage="0" bottom="0" percent="0" rank="0" text="" dxfId="9">
      <formula>ISNUMBER(SEARCH("Candidate",O2))</formula>
    </cfRule>
  </conditionalFormatting>
  <dataValidations count="3">
    <dataValidation allowBlank="true" errorStyle="stop" operator="between" showDropDown="false" showErrorMessage="false" showInputMessage="false" sqref="O2:O74" type="list">
      <formula1>Lists!$C$2:$C$8</formula1>
      <formula2>0</formula2>
    </dataValidation>
    <dataValidation allowBlank="true" errorStyle="stop" operator="between" showDropDown="false" showErrorMessage="false" showInputMessage="false" sqref="B2:B74" type="list">
      <formula1>Lists!$A$2:$A$4</formula1>
      <formula2>0</formula2>
    </dataValidation>
    <dataValidation allowBlank="true" errorStyle="stop" operator="between" showDropDown="false" showErrorMessage="false" showInputMessage="false" sqref="C2:C74" type="list">
      <formula1>Lists!$B$2:$B$10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24"/>
    <col collapsed="false" customWidth="true" hidden="false" outlineLevel="0" max="2" min="2" style="1" width="12"/>
    <col collapsed="false" customWidth="true" hidden="false" outlineLevel="0" max="3" min="3" style="1" width="62"/>
    <col collapsed="false" customWidth="true" hidden="false" outlineLevel="0" max="4" min="4" style="1" width="8.63"/>
    <col collapsed="false" customWidth="true" hidden="false" outlineLevel="0" max="5" min="5" style="1" width="18"/>
    <col collapsed="false" customWidth="true" hidden="false" outlineLevel="0" max="6" min="6" style="1" width="12"/>
    <col collapsed="false" customWidth="true" hidden="false" outlineLevel="0" max="26" min="7" style="1" width="8.63"/>
  </cols>
  <sheetData>
    <row r="1" customFormat="false" ht="17.25" hidden="false" customHeight="true" outlineLevel="0" collapsed="false">
      <c r="A1" s="2" t="s">
        <v>1118</v>
      </c>
      <c r="B1" s="2"/>
      <c r="C1" s="2"/>
      <c r="D1" s="2"/>
      <c r="E1" s="2"/>
      <c r="F1" s="2"/>
      <c r="G1" s="2"/>
    </row>
    <row r="2" customFormat="false" ht="15" hidden="false" customHeight="true" outlineLevel="0" collapsed="false">
      <c r="A2" s="8" t="s">
        <v>1119</v>
      </c>
      <c r="B2" s="9" t="n">
        <f aca="false">COUNTA(Reference_Register!$A$2:$A$105)</f>
        <v>104</v>
      </c>
      <c r="C2" s="9"/>
      <c r="D2" s="8" t="s">
        <v>30</v>
      </c>
      <c r="E2" s="9" t="n">
        <f aca="false">COUNTIF(Reference_Register!$B$2:$B$105,"Core")</f>
        <v>35</v>
      </c>
      <c r="F2" s="8" t="s">
        <v>122</v>
      </c>
      <c r="G2" s="9" t="n">
        <f aca="false">COUNTIF(Reference_Register!$B$2:$B$105,"High")</f>
        <v>34</v>
      </c>
    </row>
    <row r="3" customFormat="false" ht="41.25" hidden="false" customHeight="true" outlineLevel="0" collapsed="false">
      <c r="A3" s="8" t="s">
        <v>1120</v>
      </c>
      <c r="B3" s="9" t="n">
        <v>29</v>
      </c>
      <c r="C3" s="9"/>
      <c r="D3" s="8" t="s">
        <v>1121</v>
      </c>
      <c r="E3" s="9" t="n">
        <f aca="false">SUMPRODUCT(--(ISNUMBER(SEARCH("Candidate",Reference_Register!$O$2:$O$105))+ISNUMBER(SEARCH("Follow",Reference_Register!$O$2:$O$105))&gt;0))</f>
        <v>1</v>
      </c>
      <c r="F3" s="9"/>
      <c r="G3" s="9"/>
    </row>
    <row r="4" customFormat="false" ht="175.5" hidden="false" customHeight="true" outlineLevel="0" collapsed="false">
      <c r="A4" s="8" t="s">
        <v>1122</v>
      </c>
      <c r="B4" s="9" t="s">
        <v>1123</v>
      </c>
      <c r="C4" s="9"/>
      <c r="D4" s="9"/>
      <c r="E4" s="9"/>
      <c r="F4" s="9"/>
      <c r="G4" s="9"/>
    </row>
    <row r="6" customFormat="false" ht="15" hidden="false" customHeight="true" outlineLevel="0" collapsed="false">
      <c r="A6" s="10" t="s">
        <v>1124</v>
      </c>
      <c r="B6" s="10" t="s">
        <v>1125</v>
      </c>
      <c r="C6" s="10" t="s">
        <v>1126</v>
      </c>
      <c r="D6" s="10"/>
      <c r="E6" s="10" t="s">
        <v>1127</v>
      </c>
      <c r="F6" s="10" t="s">
        <v>1125</v>
      </c>
      <c r="G6" s="10"/>
    </row>
    <row r="7" customFormat="false" ht="15" hidden="false" customHeight="true" outlineLevel="0" collapsed="false">
      <c r="A7" s="9" t="s">
        <v>650</v>
      </c>
      <c r="B7" s="9" t="n">
        <f aca="false">COUNTIF(Reference_Register!$C$2:$C$74,A7)</f>
        <v>9</v>
      </c>
      <c r="C7" s="9" t="s">
        <v>1128</v>
      </c>
      <c r="E7" s="9" t="s">
        <v>30</v>
      </c>
      <c r="F7" s="9" t="n">
        <f aca="false">COUNTIF(Reference_Register!$B$2:$B$105,E7)</f>
        <v>35</v>
      </c>
    </row>
    <row r="8" customFormat="false" ht="15" hidden="false" customHeight="true" outlineLevel="0" collapsed="false">
      <c r="A8" s="9" t="s">
        <v>354</v>
      </c>
      <c r="B8" s="9" t="n">
        <f aca="false">COUNTIF(Reference_Register!$C$2:$C$74,A8)</f>
        <v>16</v>
      </c>
      <c r="C8" s="9" t="s">
        <v>1129</v>
      </c>
      <c r="E8" s="9" t="s">
        <v>122</v>
      </c>
      <c r="F8" s="9" t="n">
        <f aca="false">COUNTIF(Reference_Register!$B$2:$B$105,E8)</f>
        <v>34</v>
      </c>
    </row>
    <row r="9" customFormat="false" ht="15" hidden="false" customHeight="true" outlineLevel="0" collapsed="false">
      <c r="A9" s="9" t="s">
        <v>31</v>
      </c>
      <c r="B9" s="9" t="n">
        <f aca="false">COUNTIF(Reference_Register!$C$2:$C$74,A9)</f>
        <v>3</v>
      </c>
      <c r="C9" s="9" t="s">
        <v>1130</v>
      </c>
      <c r="E9" s="9" t="s">
        <v>177</v>
      </c>
      <c r="F9" s="9" t="n">
        <f aca="false">COUNTIF(Reference_Register!$B$2:$B$105,E9)</f>
        <v>35</v>
      </c>
    </row>
    <row r="10" customFormat="false" ht="15" hidden="false" customHeight="true" outlineLevel="0" collapsed="false">
      <c r="A10" s="9" t="s">
        <v>323</v>
      </c>
      <c r="B10" s="9" t="n">
        <f aca="false">COUNTIF(Reference_Register!$C$2:$C$74,A10)</f>
        <v>3</v>
      </c>
      <c r="C10" s="9" t="s">
        <v>1131</v>
      </c>
    </row>
    <row r="11" customFormat="false" ht="15" hidden="false" customHeight="true" outlineLevel="0" collapsed="false">
      <c r="A11" s="9" t="s">
        <v>740</v>
      </c>
      <c r="B11" s="9" t="n">
        <f aca="false">COUNTIF(Reference_Register!$C$2:$C$74,A11)</f>
        <v>3</v>
      </c>
      <c r="C11" s="9" t="s">
        <v>1132</v>
      </c>
    </row>
    <row r="12" customFormat="false" ht="27.75" hidden="false" customHeight="true" outlineLevel="0" collapsed="false">
      <c r="A12" s="9" t="s">
        <v>497</v>
      </c>
      <c r="B12" s="9" t="n">
        <f aca="false">COUNTIF(Reference_Register!$C$2:$C$74,A12)</f>
        <v>8</v>
      </c>
      <c r="C12" s="9" t="s">
        <v>1133</v>
      </c>
    </row>
    <row r="13" customFormat="false" ht="15" hidden="false" customHeight="true" outlineLevel="0" collapsed="false">
      <c r="A13" s="9" t="s">
        <v>281</v>
      </c>
      <c r="B13" s="9" t="n">
        <f aca="false">COUNTIF(Reference_Register!$C$2:$C$74,A13)</f>
        <v>4</v>
      </c>
      <c r="C13" s="9" t="s">
        <v>1134</v>
      </c>
    </row>
    <row r="14" customFormat="false" ht="27.75" hidden="false" customHeight="true" outlineLevel="0" collapsed="false">
      <c r="A14" s="9" t="s">
        <v>59</v>
      </c>
      <c r="B14" s="9" t="n">
        <f aca="false">COUNTIF(Reference_Register!$C$2:$C$74,A14)</f>
        <v>20</v>
      </c>
      <c r="C14" s="9" t="s">
        <v>1135</v>
      </c>
    </row>
    <row r="15" customFormat="false" ht="15" hidden="false" customHeight="true" outlineLevel="0" collapsed="false">
      <c r="A15" s="9" t="s">
        <v>578</v>
      </c>
      <c r="B15" s="9" t="n">
        <f aca="false">COUNTIF(Reference_Register!$C$2:$C$74,A15)</f>
        <v>7</v>
      </c>
      <c r="C15" s="9" t="s">
        <v>1136</v>
      </c>
    </row>
    <row r="17" customFormat="false" ht="27.75" hidden="false" customHeight="true" outlineLevel="0" collapsed="false">
      <c r="A17" s="11" t="s">
        <v>1137</v>
      </c>
      <c r="B17" s="11"/>
      <c r="C17" s="11"/>
      <c r="D17" s="11"/>
      <c r="E17" s="11"/>
      <c r="F17" s="11"/>
      <c r="G17" s="11"/>
    </row>
    <row r="18" customFormat="false" ht="15" hidden="false" customHeight="true" outlineLevel="0" collapsed="false">
      <c r="A18" s="1" t="s">
        <v>1138</v>
      </c>
    </row>
    <row r="19" customFormat="false" ht="15" hidden="false" customHeight="false" outlineLevel="0" collapsed="false">
      <c r="A19" s="1" t="s">
        <v>1139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mergeCells count="2">
    <mergeCell ref="A1:G1"/>
    <mergeCell ref="A17:G1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3" activeCellId="0" sqref="B3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20"/>
    <col collapsed="false" customWidth="true" hidden="false" outlineLevel="0" max="4" min="4" style="1" width="40"/>
    <col collapsed="false" customWidth="true" hidden="false" outlineLevel="0" max="5" min="5" style="1" width="50"/>
    <col collapsed="false" customWidth="true" hidden="false" outlineLevel="0" max="6" min="6" style="1" width="65"/>
    <col collapsed="false" customWidth="true" hidden="false" outlineLevel="0" max="7" min="7" style="1" width="48"/>
    <col collapsed="false" customWidth="true" hidden="false" outlineLevel="0" max="26" min="8" style="1" width="8.63"/>
  </cols>
  <sheetData>
    <row r="1" customFormat="false" ht="15" hidden="false" customHeight="true" outlineLevel="0" collapsed="false">
      <c r="A1" s="5" t="s">
        <v>13</v>
      </c>
      <c r="B1" s="5" t="s">
        <v>14</v>
      </c>
      <c r="C1" s="5" t="s">
        <v>15</v>
      </c>
      <c r="D1" s="5" t="s">
        <v>1140</v>
      </c>
      <c r="E1" s="5" t="s">
        <v>19</v>
      </c>
      <c r="F1" s="5" t="s">
        <v>1141</v>
      </c>
      <c r="G1" s="5" t="s">
        <v>22</v>
      </c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customFormat="false" ht="27.75" hidden="false" customHeight="true" outlineLevel="0" collapsed="false">
      <c r="A2" s="9" t="s">
        <v>29</v>
      </c>
      <c r="B2" s="9" t="s">
        <v>30</v>
      </c>
      <c r="C2" s="9" t="s">
        <v>31</v>
      </c>
      <c r="D2" s="9" t="s">
        <v>1142</v>
      </c>
      <c r="E2" s="9" t="s">
        <v>35</v>
      </c>
      <c r="F2" s="9" t="s">
        <v>40</v>
      </c>
      <c r="G2" s="9" t="s">
        <v>37</v>
      </c>
    </row>
    <row r="3" customFormat="false" ht="27.75" hidden="false" customHeight="true" outlineLevel="0" collapsed="false">
      <c r="A3" s="9" t="s">
        <v>44</v>
      </c>
      <c r="B3" s="9" t="s">
        <v>30</v>
      </c>
      <c r="C3" s="9" t="s">
        <v>31</v>
      </c>
      <c r="D3" s="9" t="s">
        <v>1142</v>
      </c>
      <c r="E3" s="9" t="s">
        <v>46</v>
      </c>
      <c r="F3" s="9" t="s">
        <v>49</v>
      </c>
      <c r="G3" s="9" t="s">
        <v>47</v>
      </c>
    </row>
    <row r="4" customFormat="false" ht="27.75" hidden="false" customHeight="true" outlineLevel="0" collapsed="false">
      <c r="A4" s="9" t="s">
        <v>50</v>
      </c>
      <c r="B4" s="9" t="s">
        <v>30</v>
      </c>
      <c r="C4" s="9" t="s">
        <v>31</v>
      </c>
      <c r="D4" s="9" t="s">
        <v>1142</v>
      </c>
      <c r="E4" s="9" t="s">
        <v>52</v>
      </c>
      <c r="F4" s="9" t="s">
        <v>56</v>
      </c>
      <c r="G4" s="9" t="s">
        <v>54</v>
      </c>
    </row>
    <row r="5" customFormat="false" ht="27.75" hidden="false" customHeight="true" outlineLevel="0" collapsed="false">
      <c r="A5" s="9" t="s">
        <v>58</v>
      </c>
      <c r="B5" s="9" t="s">
        <v>30</v>
      </c>
      <c r="C5" s="9" t="s">
        <v>59</v>
      </c>
      <c r="D5" s="9" t="s">
        <v>1143</v>
      </c>
      <c r="E5" s="9" t="s">
        <v>63</v>
      </c>
      <c r="F5" s="9" t="s">
        <v>69</v>
      </c>
      <c r="G5" s="9" t="s">
        <v>66</v>
      </c>
    </row>
    <row r="6" customFormat="false" ht="41.25" hidden="false" customHeight="true" outlineLevel="0" collapsed="false">
      <c r="A6" s="9" t="s">
        <v>73</v>
      </c>
      <c r="B6" s="9" t="s">
        <v>30</v>
      </c>
      <c r="C6" s="9" t="s">
        <v>59</v>
      </c>
      <c r="D6" s="9" t="s">
        <v>1144</v>
      </c>
      <c r="E6" s="9" t="s">
        <v>76</v>
      </c>
      <c r="F6" s="9" t="s">
        <v>82</v>
      </c>
      <c r="G6" s="9" t="s">
        <v>79</v>
      </c>
    </row>
    <row r="7" customFormat="false" ht="27.75" hidden="false" customHeight="true" outlineLevel="0" collapsed="false">
      <c r="A7" s="9" t="s">
        <v>83</v>
      </c>
      <c r="B7" s="9" t="s">
        <v>30</v>
      </c>
      <c r="C7" s="9" t="s">
        <v>59</v>
      </c>
      <c r="D7" s="9" t="s">
        <v>1145</v>
      </c>
      <c r="E7" s="9" t="s">
        <v>86</v>
      </c>
      <c r="F7" s="9" t="s">
        <v>90</v>
      </c>
      <c r="G7" s="9" t="s">
        <v>88</v>
      </c>
    </row>
    <row r="8" customFormat="false" ht="27.75" hidden="false" customHeight="true" outlineLevel="0" collapsed="false">
      <c r="A8" s="9" t="s">
        <v>94</v>
      </c>
      <c r="B8" s="9" t="s">
        <v>30</v>
      </c>
      <c r="C8" s="9" t="s">
        <v>59</v>
      </c>
      <c r="D8" s="9" t="s">
        <v>1146</v>
      </c>
      <c r="E8" s="9" t="s">
        <v>96</v>
      </c>
      <c r="F8" s="9" t="s">
        <v>100</v>
      </c>
      <c r="G8" s="9" t="s">
        <v>98</v>
      </c>
    </row>
    <row r="9" customFormat="false" ht="27.75" hidden="false" customHeight="true" outlineLevel="0" collapsed="false">
      <c r="A9" s="9" t="s">
        <v>101</v>
      </c>
      <c r="B9" s="9" t="s">
        <v>30</v>
      </c>
      <c r="C9" s="9" t="s">
        <v>59</v>
      </c>
      <c r="D9" s="9" t="s">
        <v>1147</v>
      </c>
      <c r="E9" s="9" t="s">
        <v>104</v>
      </c>
      <c r="F9" s="9" t="s">
        <v>108</v>
      </c>
      <c r="G9" s="9" t="s">
        <v>105</v>
      </c>
    </row>
    <row r="10" customFormat="false" ht="41.25" hidden="false" customHeight="true" outlineLevel="0" collapsed="false">
      <c r="A10" s="9" t="s">
        <v>110</v>
      </c>
      <c r="B10" s="9" t="s">
        <v>30</v>
      </c>
      <c r="C10" s="9" t="s">
        <v>59</v>
      </c>
      <c r="D10" s="9" t="s">
        <v>1148</v>
      </c>
      <c r="E10" s="9" t="s">
        <v>114</v>
      </c>
      <c r="F10" s="9" t="s">
        <v>120</v>
      </c>
      <c r="G10" s="9" t="s">
        <v>117</v>
      </c>
    </row>
    <row r="11" customFormat="false" ht="27.75" hidden="false" customHeight="true" outlineLevel="0" collapsed="false">
      <c r="A11" s="9" t="s">
        <v>121</v>
      </c>
      <c r="B11" s="9" t="s">
        <v>122</v>
      </c>
      <c r="C11" s="9" t="s">
        <v>59</v>
      </c>
      <c r="D11" s="9" t="s">
        <v>1149</v>
      </c>
      <c r="E11" s="9" t="s">
        <v>126</v>
      </c>
      <c r="F11" s="9" t="s">
        <v>131</v>
      </c>
      <c r="G11" s="9" t="s">
        <v>129</v>
      </c>
    </row>
    <row r="12" customFormat="false" ht="27.75" hidden="false" customHeight="true" outlineLevel="0" collapsed="false">
      <c r="A12" s="9" t="s">
        <v>132</v>
      </c>
      <c r="B12" s="9" t="s">
        <v>122</v>
      </c>
      <c r="C12" s="9" t="s">
        <v>59</v>
      </c>
      <c r="D12" s="9" t="s">
        <v>1150</v>
      </c>
      <c r="E12" s="9" t="s">
        <v>136</v>
      </c>
      <c r="F12" s="9" t="s">
        <v>142</v>
      </c>
      <c r="G12" s="9" t="s">
        <v>139</v>
      </c>
    </row>
    <row r="13" customFormat="false" ht="27.75" hidden="false" customHeight="true" outlineLevel="0" collapsed="false">
      <c r="A13" s="9" t="s">
        <v>143</v>
      </c>
      <c r="B13" s="9" t="s">
        <v>122</v>
      </c>
      <c r="C13" s="9" t="s">
        <v>59</v>
      </c>
      <c r="D13" s="9" t="s">
        <v>1151</v>
      </c>
      <c r="E13" s="9" t="s">
        <v>147</v>
      </c>
      <c r="F13" s="9" t="s">
        <v>152</v>
      </c>
      <c r="G13" s="9" t="s">
        <v>150</v>
      </c>
    </row>
    <row r="14" customFormat="false" ht="27.75" hidden="false" customHeight="true" outlineLevel="0" collapsed="false">
      <c r="A14" s="9" t="s">
        <v>153</v>
      </c>
      <c r="B14" s="9" t="s">
        <v>122</v>
      </c>
      <c r="C14" s="9" t="s">
        <v>59</v>
      </c>
      <c r="D14" s="9" t="s">
        <v>1152</v>
      </c>
      <c r="E14" s="9" t="s">
        <v>157</v>
      </c>
      <c r="F14" s="9" t="s">
        <v>163</v>
      </c>
      <c r="G14" s="9" t="s">
        <v>160</v>
      </c>
    </row>
    <row r="15" customFormat="false" ht="41.25" hidden="false" customHeight="true" outlineLevel="0" collapsed="false">
      <c r="A15" s="9" t="s">
        <v>165</v>
      </c>
      <c r="B15" s="9" t="s">
        <v>122</v>
      </c>
      <c r="C15" s="9" t="s">
        <v>59</v>
      </c>
      <c r="D15" s="9" t="s">
        <v>1153</v>
      </c>
      <c r="E15" s="9" t="s">
        <v>169</v>
      </c>
      <c r="F15" s="9" t="s">
        <v>175</v>
      </c>
      <c r="G15" s="9" t="s">
        <v>172</v>
      </c>
    </row>
    <row r="16" customFormat="false" ht="27.75" hidden="false" customHeight="true" outlineLevel="0" collapsed="false">
      <c r="A16" s="9" t="s">
        <v>188</v>
      </c>
      <c r="B16" s="9" t="s">
        <v>30</v>
      </c>
      <c r="C16" s="9" t="s">
        <v>59</v>
      </c>
      <c r="D16" s="9" t="s">
        <v>1154</v>
      </c>
      <c r="E16" s="9" t="s">
        <v>191</v>
      </c>
      <c r="F16" s="9" t="s">
        <v>197</v>
      </c>
      <c r="G16" s="9" t="s">
        <v>194</v>
      </c>
    </row>
    <row r="17" customFormat="false" ht="41.25" hidden="false" customHeight="true" outlineLevel="0" collapsed="false">
      <c r="A17" s="9" t="s">
        <v>198</v>
      </c>
      <c r="B17" s="9" t="s">
        <v>30</v>
      </c>
      <c r="C17" s="9" t="s">
        <v>59</v>
      </c>
      <c r="D17" s="9" t="s">
        <v>1155</v>
      </c>
      <c r="E17" s="9" t="s">
        <v>201</v>
      </c>
      <c r="F17" s="9" t="s">
        <v>207</v>
      </c>
      <c r="G17" s="9" t="s">
        <v>204</v>
      </c>
    </row>
    <row r="18" customFormat="false" ht="15" hidden="false" customHeight="true" outlineLevel="0" collapsed="false">
      <c r="A18" s="9" t="s">
        <v>208</v>
      </c>
      <c r="B18" s="9" t="s">
        <v>122</v>
      </c>
      <c r="C18" s="9" t="s">
        <v>59</v>
      </c>
      <c r="D18" s="9" t="s">
        <v>1156</v>
      </c>
      <c r="E18" s="9" t="s">
        <v>212</v>
      </c>
      <c r="F18" s="9" t="s">
        <v>218</v>
      </c>
      <c r="G18" s="9" t="s">
        <v>215</v>
      </c>
    </row>
    <row r="19" customFormat="false" ht="27.75" hidden="false" customHeight="true" outlineLevel="0" collapsed="false">
      <c r="A19" s="9" t="s">
        <v>222</v>
      </c>
      <c r="B19" s="9" t="s">
        <v>122</v>
      </c>
      <c r="C19" s="9" t="s">
        <v>59</v>
      </c>
      <c r="D19" s="9" t="s">
        <v>1157</v>
      </c>
      <c r="E19" s="9" t="s">
        <v>226</v>
      </c>
      <c r="F19" s="9" t="s">
        <v>232</v>
      </c>
      <c r="G19" s="9" t="s">
        <v>229</v>
      </c>
    </row>
    <row r="20" customFormat="false" ht="41.25" hidden="false" customHeight="true" outlineLevel="0" collapsed="false">
      <c r="A20" s="9" t="s">
        <v>246</v>
      </c>
      <c r="B20" s="9" t="s">
        <v>122</v>
      </c>
      <c r="C20" s="9" t="s">
        <v>59</v>
      </c>
      <c r="D20" s="9" t="s">
        <v>1158</v>
      </c>
      <c r="E20" s="9" t="s">
        <v>250</v>
      </c>
      <c r="F20" s="9" t="s">
        <v>256</v>
      </c>
      <c r="G20" s="9" t="s">
        <v>253</v>
      </c>
    </row>
    <row r="21" customFormat="false" ht="15.75" hidden="false" customHeight="true" outlineLevel="0" collapsed="false">
      <c r="A21" s="9" t="s">
        <v>280</v>
      </c>
      <c r="B21" s="9" t="s">
        <v>122</v>
      </c>
      <c r="C21" s="9" t="s">
        <v>281</v>
      </c>
      <c r="D21" s="9" t="s">
        <v>1159</v>
      </c>
      <c r="E21" s="9" t="s">
        <v>285</v>
      </c>
      <c r="F21" s="9" t="s">
        <v>291</v>
      </c>
      <c r="G21" s="9" t="s">
        <v>288</v>
      </c>
    </row>
    <row r="22" customFormat="false" ht="15.75" hidden="false" customHeight="true" outlineLevel="0" collapsed="false">
      <c r="A22" s="9" t="s">
        <v>303</v>
      </c>
      <c r="B22" s="9" t="s">
        <v>122</v>
      </c>
      <c r="C22" s="9" t="s">
        <v>281</v>
      </c>
      <c r="D22" s="9" t="s">
        <v>1160</v>
      </c>
      <c r="E22" s="9" t="s">
        <v>306</v>
      </c>
      <c r="F22" s="9" t="s">
        <v>311</v>
      </c>
      <c r="G22" s="9" t="s">
        <v>309</v>
      </c>
    </row>
    <row r="23" customFormat="false" ht="15.75" hidden="false" customHeight="true" outlineLevel="0" collapsed="false">
      <c r="A23" s="9" t="s">
        <v>335</v>
      </c>
      <c r="B23" s="9" t="s">
        <v>122</v>
      </c>
      <c r="C23" s="9" t="s">
        <v>323</v>
      </c>
      <c r="D23" s="9" t="s">
        <v>1161</v>
      </c>
      <c r="E23" s="9" t="s">
        <v>338</v>
      </c>
      <c r="F23" s="9" t="s">
        <v>342</v>
      </c>
      <c r="G23" s="9" t="s">
        <v>340</v>
      </c>
    </row>
    <row r="24" customFormat="false" ht="15.75" hidden="false" customHeight="true" outlineLevel="0" collapsed="false">
      <c r="A24" s="9" t="s">
        <v>353</v>
      </c>
      <c r="B24" s="9" t="s">
        <v>30</v>
      </c>
      <c r="C24" s="9" t="s">
        <v>354</v>
      </c>
      <c r="D24" s="9" t="s">
        <v>1162</v>
      </c>
      <c r="E24" s="9" t="s">
        <v>358</v>
      </c>
      <c r="F24" s="9" t="s">
        <v>362</v>
      </c>
      <c r="G24" s="9" t="s">
        <v>360</v>
      </c>
    </row>
    <row r="25" customFormat="false" ht="15.75" hidden="false" customHeight="true" outlineLevel="0" collapsed="false">
      <c r="A25" s="9" t="s">
        <v>364</v>
      </c>
      <c r="B25" s="9" t="s">
        <v>30</v>
      </c>
      <c r="C25" s="9" t="s">
        <v>354</v>
      </c>
      <c r="D25" s="9" t="s">
        <v>1162</v>
      </c>
      <c r="E25" s="9" t="s">
        <v>366</v>
      </c>
      <c r="F25" s="9" t="s">
        <v>369</v>
      </c>
      <c r="G25" s="9" t="s">
        <v>367</v>
      </c>
    </row>
    <row r="26" customFormat="false" ht="15.75" hidden="false" customHeight="true" outlineLevel="0" collapsed="false">
      <c r="A26" s="9" t="s">
        <v>370</v>
      </c>
      <c r="B26" s="9" t="s">
        <v>30</v>
      </c>
      <c r="C26" s="9" t="s">
        <v>354</v>
      </c>
      <c r="D26" s="9" t="s">
        <v>1145</v>
      </c>
      <c r="E26" s="9" t="s">
        <v>372</v>
      </c>
      <c r="F26" s="9" t="s">
        <v>375</v>
      </c>
      <c r="G26" s="9" t="s">
        <v>373</v>
      </c>
    </row>
    <row r="27" customFormat="false" ht="15.75" hidden="false" customHeight="true" outlineLevel="0" collapsed="false">
      <c r="A27" s="9" t="s">
        <v>376</v>
      </c>
      <c r="B27" s="9" t="s">
        <v>122</v>
      </c>
      <c r="C27" s="9" t="s">
        <v>354</v>
      </c>
      <c r="D27" s="9" t="s">
        <v>1163</v>
      </c>
      <c r="E27" s="9" t="s">
        <v>379</v>
      </c>
      <c r="F27" s="9" t="s">
        <v>384</v>
      </c>
      <c r="G27" s="9" t="s">
        <v>382</v>
      </c>
    </row>
    <row r="28" customFormat="false" ht="15.75" hidden="false" customHeight="true" outlineLevel="0" collapsed="false">
      <c r="A28" s="9" t="s">
        <v>385</v>
      </c>
      <c r="B28" s="9" t="s">
        <v>122</v>
      </c>
      <c r="C28" s="9" t="s">
        <v>354</v>
      </c>
      <c r="D28" s="9" t="s">
        <v>1164</v>
      </c>
      <c r="E28" s="9" t="s">
        <v>388</v>
      </c>
      <c r="F28" s="9" t="s">
        <v>392</v>
      </c>
      <c r="G28" s="9" t="s">
        <v>390</v>
      </c>
    </row>
    <row r="29" customFormat="false" ht="15.75" hidden="false" customHeight="true" outlineLevel="0" collapsed="false">
      <c r="A29" s="9" t="s">
        <v>393</v>
      </c>
      <c r="B29" s="9" t="s">
        <v>122</v>
      </c>
      <c r="C29" s="9" t="s">
        <v>354</v>
      </c>
      <c r="D29" s="9" t="s">
        <v>1165</v>
      </c>
      <c r="E29" s="9" t="s">
        <v>396</v>
      </c>
      <c r="F29" s="9" t="s">
        <v>400</v>
      </c>
      <c r="G29" s="9" t="s">
        <v>373</v>
      </c>
    </row>
    <row r="30" customFormat="false" ht="15.75" hidden="false" customHeight="true" outlineLevel="0" collapsed="false">
      <c r="A30" s="9" t="s">
        <v>402</v>
      </c>
      <c r="B30" s="9" t="s">
        <v>122</v>
      </c>
      <c r="C30" s="9" t="s">
        <v>354</v>
      </c>
      <c r="D30" s="9" t="s">
        <v>1166</v>
      </c>
      <c r="E30" s="9" t="s">
        <v>405</v>
      </c>
      <c r="F30" s="9" t="s">
        <v>408</v>
      </c>
      <c r="G30" s="9" t="s">
        <v>373</v>
      </c>
    </row>
    <row r="31" customFormat="false" ht="15.75" hidden="false" customHeight="true" outlineLevel="0" collapsed="false">
      <c r="A31" s="9" t="s">
        <v>409</v>
      </c>
      <c r="B31" s="9" t="s">
        <v>122</v>
      </c>
      <c r="C31" s="9" t="s">
        <v>354</v>
      </c>
      <c r="D31" s="9" t="s">
        <v>1167</v>
      </c>
      <c r="E31" s="9" t="s">
        <v>412</v>
      </c>
      <c r="F31" s="9" t="s">
        <v>417</v>
      </c>
      <c r="G31" s="9" t="s">
        <v>415</v>
      </c>
    </row>
    <row r="32" customFormat="false" ht="15.75" hidden="false" customHeight="true" outlineLevel="0" collapsed="false">
      <c r="A32" s="9" t="s">
        <v>496</v>
      </c>
      <c r="B32" s="9" t="s">
        <v>30</v>
      </c>
      <c r="C32" s="9" t="s">
        <v>497</v>
      </c>
      <c r="D32" s="9" t="s">
        <v>1168</v>
      </c>
      <c r="E32" s="9" t="s">
        <v>500</v>
      </c>
      <c r="F32" s="9" t="s">
        <v>506</v>
      </c>
      <c r="G32" s="9" t="s">
        <v>503</v>
      </c>
    </row>
    <row r="33" customFormat="false" ht="15.75" hidden="false" customHeight="true" outlineLevel="0" collapsed="false">
      <c r="A33" s="9" t="s">
        <v>508</v>
      </c>
      <c r="B33" s="9" t="s">
        <v>122</v>
      </c>
      <c r="C33" s="9" t="s">
        <v>497</v>
      </c>
      <c r="D33" s="9" t="s">
        <v>1169</v>
      </c>
      <c r="E33" s="9" t="s">
        <v>511</v>
      </c>
      <c r="F33" s="9" t="s">
        <v>516</v>
      </c>
      <c r="G33" s="9" t="s">
        <v>514</v>
      </c>
    </row>
    <row r="34" customFormat="false" ht="15.75" hidden="false" customHeight="true" outlineLevel="0" collapsed="false">
      <c r="A34" s="9" t="s">
        <v>528</v>
      </c>
      <c r="B34" s="9" t="s">
        <v>30</v>
      </c>
      <c r="C34" s="9" t="s">
        <v>497</v>
      </c>
      <c r="D34" s="9" t="s">
        <v>1170</v>
      </c>
      <c r="E34" s="9" t="s">
        <v>531</v>
      </c>
      <c r="F34" s="9" t="s">
        <v>535</v>
      </c>
      <c r="G34" s="9" t="s">
        <v>533</v>
      </c>
    </row>
    <row r="35" customFormat="false" ht="15.75" hidden="false" customHeight="true" outlineLevel="0" collapsed="false">
      <c r="A35" s="9" t="s">
        <v>537</v>
      </c>
      <c r="B35" s="9" t="s">
        <v>30</v>
      </c>
      <c r="C35" s="9" t="s">
        <v>497</v>
      </c>
      <c r="D35" s="9" t="s">
        <v>1171</v>
      </c>
      <c r="E35" s="9" t="s">
        <v>540</v>
      </c>
      <c r="F35" s="9" t="s">
        <v>545</v>
      </c>
      <c r="G35" s="9" t="s">
        <v>542</v>
      </c>
    </row>
    <row r="36" customFormat="false" ht="15.75" hidden="false" customHeight="true" outlineLevel="0" collapsed="false">
      <c r="A36" s="9" t="s">
        <v>577</v>
      </c>
      <c r="B36" s="9" t="s">
        <v>122</v>
      </c>
      <c r="C36" s="9" t="s">
        <v>578</v>
      </c>
      <c r="D36" s="9" t="s">
        <v>1172</v>
      </c>
      <c r="E36" s="9" t="s">
        <v>582</v>
      </c>
      <c r="F36" s="9" t="s">
        <v>588</v>
      </c>
      <c r="G36" s="9" t="s">
        <v>1173</v>
      </c>
    </row>
    <row r="37" customFormat="false" ht="15.75" hidden="false" customHeight="true" outlineLevel="0" collapsed="false">
      <c r="A37" s="9" t="s">
        <v>590</v>
      </c>
      <c r="B37" s="9" t="s">
        <v>122</v>
      </c>
      <c r="C37" s="9" t="s">
        <v>578</v>
      </c>
      <c r="D37" s="9" t="s">
        <v>1174</v>
      </c>
      <c r="E37" s="9" t="s">
        <v>593</v>
      </c>
      <c r="F37" s="9" t="s">
        <v>598</v>
      </c>
      <c r="G37" s="9" t="s">
        <v>1175</v>
      </c>
    </row>
    <row r="38" customFormat="false" ht="15.75" hidden="false" customHeight="true" outlineLevel="0" collapsed="false">
      <c r="A38" s="9" t="s">
        <v>649</v>
      </c>
      <c r="B38" s="9" t="s">
        <v>122</v>
      </c>
      <c r="C38" s="9" t="s">
        <v>650</v>
      </c>
      <c r="D38" s="9" t="s">
        <v>1176</v>
      </c>
      <c r="E38" s="9" t="s">
        <v>653</v>
      </c>
      <c r="F38" s="9" t="s">
        <v>658</v>
      </c>
      <c r="G38" s="9" t="s">
        <v>655</v>
      </c>
    </row>
    <row r="39" customFormat="false" ht="15.75" hidden="false" customHeight="true" outlineLevel="0" collapsed="false">
      <c r="A39" s="9" t="s">
        <v>739</v>
      </c>
      <c r="B39" s="9" t="s">
        <v>30</v>
      </c>
      <c r="C39" s="9" t="s">
        <v>740</v>
      </c>
      <c r="D39" s="9" t="s">
        <v>1177</v>
      </c>
      <c r="E39" s="9" t="s">
        <v>743</v>
      </c>
      <c r="F39" s="9" t="s">
        <v>746</v>
      </c>
      <c r="G39" s="9" t="s">
        <v>744</v>
      </c>
    </row>
    <row r="40" customFormat="false" ht="15.75" hidden="false" customHeight="true" outlineLevel="0" collapsed="false">
      <c r="A40" s="9" t="s">
        <v>748</v>
      </c>
      <c r="B40" s="9" t="s">
        <v>30</v>
      </c>
      <c r="C40" s="9" t="s">
        <v>740</v>
      </c>
      <c r="D40" s="9" t="s">
        <v>1178</v>
      </c>
      <c r="E40" s="9" t="s">
        <v>751</v>
      </c>
      <c r="F40" s="9" t="s">
        <v>754</v>
      </c>
      <c r="G40" s="9" t="s">
        <v>752</v>
      </c>
    </row>
    <row r="41" customFormat="false" ht="15.75" hidden="false" customHeight="true" outlineLevel="0" collapsed="false">
      <c r="A41" s="9" t="s">
        <v>755</v>
      </c>
      <c r="B41" s="9" t="s">
        <v>30</v>
      </c>
      <c r="C41" s="9" t="s">
        <v>740</v>
      </c>
      <c r="D41" s="9" t="s">
        <v>1179</v>
      </c>
      <c r="E41" s="9" t="s">
        <v>759</v>
      </c>
      <c r="F41" s="9" t="s">
        <v>764</v>
      </c>
      <c r="G41" s="9" t="s">
        <v>762</v>
      </c>
    </row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3" activeCellId="0" sqref="B3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55"/>
    <col collapsed="false" customWidth="true" hidden="false" outlineLevel="0" max="3" min="3" style="1" width="35"/>
    <col collapsed="false" customWidth="true" hidden="false" outlineLevel="0" max="4" min="4" style="1" width="40"/>
    <col collapsed="false" customWidth="true" hidden="false" outlineLevel="0" max="5" min="5" style="1" width="45"/>
    <col collapsed="false" customWidth="true" hidden="false" outlineLevel="0" max="26" min="6" style="1" width="8.63"/>
  </cols>
  <sheetData>
    <row r="1" customFormat="false" ht="15" hidden="false" customHeight="true" outlineLevel="0" collapsed="false">
      <c r="A1" s="13" t="s">
        <v>1180</v>
      </c>
      <c r="B1" s="13" t="s">
        <v>1181</v>
      </c>
      <c r="C1" s="13" t="s">
        <v>1182</v>
      </c>
      <c r="D1" s="13" t="s">
        <v>1183</v>
      </c>
      <c r="E1" s="13" t="s">
        <v>1184</v>
      </c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customFormat="false" ht="27.75" hidden="false" customHeight="true" outlineLevel="0" collapsed="false">
      <c r="A2" s="9" t="s">
        <v>1185</v>
      </c>
      <c r="B2" s="9" t="s">
        <v>1186</v>
      </c>
      <c r="C2" s="9" t="s">
        <v>1187</v>
      </c>
      <c r="D2" s="9" t="s">
        <v>1188</v>
      </c>
      <c r="E2" s="9" t="s">
        <v>1189</v>
      </c>
    </row>
    <row r="3" customFormat="false" ht="27.75" hidden="false" customHeight="true" outlineLevel="0" collapsed="false">
      <c r="A3" s="9" t="s">
        <v>1190</v>
      </c>
      <c r="B3" s="9" t="s">
        <v>1191</v>
      </c>
      <c r="C3" s="9" t="s">
        <v>1192</v>
      </c>
      <c r="D3" s="9" t="s">
        <v>1193</v>
      </c>
      <c r="E3" s="9" t="s">
        <v>1194</v>
      </c>
    </row>
    <row r="4" customFormat="false" ht="27.75" hidden="false" customHeight="true" outlineLevel="0" collapsed="false">
      <c r="A4" s="9" t="s">
        <v>1195</v>
      </c>
      <c r="B4" s="9" t="s">
        <v>1196</v>
      </c>
      <c r="C4" s="9" t="s">
        <v>1197</v>
      </c>
      <c r="D4" s="9" t="s">
        <v>1198</v>
      </c>
      <c r="E4" s="9" t="s">
        <v>1199</v>
      </c>
    </row>
    <row r="5" customFormat="false" ht="27.75" hidden="false" customHeight="true" outlineLevel="0" collapsed="false">
      <c r="A5" s="9" t="s">
        <v>1200</v>
      </c>
      <c r="B5" s="9" t="s">
        <v>1201</v>
      </c>
      <c r="C5" s="9" t="s">
        <v>1202</v>
      </c>
      <c r="D5" s="9" t="s">
        <v>426</v>
      </c>
      <c r="E5" s="9" t="s">
        <v>1203</v>
      </c>
    </row>
    <row r="6" customFormat="false" ht="27.75" hidden="false" customHeight="true" outlineLevel="0" collapsed="false">
      <c r="A6" s="9" t="s">
        <v>1204</v>
      </c>
      <c r="B6" s="9" t="s">
        <v>1205</v>
      </c>
      <c r="C6" s="9" t="s">
        <v>1206</v>
      </c>
      <c r="D6" s="9" t="s">
        <v>1207</v>
      </c>
      <c r="E6" s="9" t="s">
        <v>1208</v>
      </c>
    </row>
    <row r="7" customFormat="false" ht="27.75" hidden="false" customHeight="true" outlineLevel="0" collapsed="false">
      <c r="A7" s="9" t="s">
        <v>1209</v>
      </c>
      <c r="B7" s="9" t="s">
        <v>1210</v>
      </c>
      <c r="C7" s="9" t="s">
        <v>1211</v>
      </c>
      <c r="D7" s="9" t="s">
        <v>165</v>
      </c>
      <c r="E7" s="9" t="s">
        <v>1212</v>
      </c>
    </row>
    <row r="8" customFormat="false" ht="27.75" hidden="false" customHeight="true" outlineLevel="0" collapsed="false">
      <c r="A8" s="9" t="s">
        <v>1213</v>
      </c>
      <c r="B8" s="9" t="s">
        <v>1214</v>
      </c>
      <c r="C8" s="9" t="s">
        <v>1215</v>
      </c>
      <c r="D8" s="9" t="s">
        <v>1216</v>
      </c>
      <c r="E8" s="9" t="s">
        <v>1217</v>
      </c>
    </row>
    <row r="9" customFormat="false" ht="27.75" hidden="false" customHeight="true" outlineLevel="0" collapsed="false">
      <c r="A9" s="9" t="s">
        <v>1218</v>
      </c>
      <c r="B9" s="9" t="s">
        <v>1219</v>
      </c>
      <c r="C9" s="9" t="s">
        <v>1220</v>
      </c>
      <c r="D9" s="9" t="s">
        <v>1221</v>
      </c>
      <c r="E9" s="9" t="s">
        <v>1222</v>
      </c>
    </row>
    <row r="10" customFormat="false" ht="27.75" hidden="false" customHeight="true" outlineLevel="0" collapsed="false">
      <c r="A10" s="9" t="s">
        <v>1223</v>
      </c>
      <c r="B10" s="9" t="s">
        <v>1224</v>
      </c>
      <c r="C10" s="9" t="s">
        <v>1225</v>
      </c>
      <c r="D10" s="9" t="s">
        <v>1188</v>
      </c>
      <c r="E10" s="9" t="s">
        <v>1226</v>
      </c>
    </row>
    <row r="11" customFormat="false" ht="27.75" hidden="false" customHeight="true" outlineLevel="0" collapsed="false">
      <c r="A11" s="9" t="s">
        <v>1227</v>
      </c>
      <c r="B11" s="9" t="s">
        <v>1228</v>
      </c>
      <c r="C11" s="9" t="s">
        <v>1229</v>
      </c>
      <c r="D11" s="9" t="s">
        <v>1230</v>
      </c>
      <c r="E11" s="9" t="s">
        <v>1231</v>
      </c>
    </row>
    <row r="12" customFormat="false" ht="27.75" hidden="false" customHeight="true" outlineLevel="0" collapsed="false">
      <c r="A12" s="9" t="s">
        <v>1232</v>
      </c>
      <c r="B12" s="9" t="s">
        <v>1233</v>
      </c>
      <c r="C12" s="9" t="s">
        <v>1234</v>
      </c>
      <c r="D12" s="9" t="s">
        <v>1235</v>
      </c>
      <c r="E12" s="9" t="s">
        <v>1236</v>
      </c>
    </row>
    <row r="13" customFormat="false" ht="27.75" hidden="false" customHeight="true" outlineLevel="0" collapsed="false">
      <c r="A13" s="9" t="s">
        <v>1237</v>
      </c>
      <c r="B13" s="9" t="s">
        <v>1238</v>
      </c>
      <c r="C13" s="9" t="s">
        <v>1239</v>
      </c>
      <c r="D13" s="9" t="s">
        <v>1240</v>
      </c>
      <c r="E13" s="9" t="s">
        <v>1241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3" activeCellId="0" sqref="B3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24"/>
    <col collapsed="false" customWidth="true" hidden="false" outlineLevel="0" max="2" min="2" style="1" width="50"/>
    <col collapsed="false" customWidth="true" hidden="false" outlineLevel="0" max="3" min="3" style="1" width="72"/>
    <col collapsed="false" customWidth="true" hidden="false" outlineLevel="0" max="4" min="4" style="1" width="55"/>
    <col collapsed="false" customWidth="true" hidden="false" outlineLevel="0" max="26" min="5" style="1" width="8.63"/>
  </cols>
  <sheetData>
    <row r="1" customFormat="false" ht="15" hidden="false" customHeight="true" outlineLevel="0" collapsed="false">
      <c r="A1" s="13" t="s">
        <v>1242</v>
      </c>
      <c r="B1" s="13" t="s">
        <v>1243</v>
      </c>
      <c r="C1" s="13" t="s">
        <v>1244</v>
      </c>
      <c r="D1" s="13" t="s">
        <v>1245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customFormat="false" ht="27.75" hidden="false" customHeight="true" outlineLevel="0" collapsed="false">
      <c r="A2" s="9" t="s">
        <v>1246</v>
      </c>
      <c r="B2" s="9" t="s">
        <v>37</v>
      </c>
      <c r="C2" s="9" t="s">
        <v>1247</v>
      </c>
      <c r="D2" s="9" t="s">
        <v>1248</v>
      </c>
    </row>
    <row r="3" customFormat="false" ht="27.75" hidden="false" customHeight="true" outlineLevel="0" collapsed="false">
      <c r="A3" s="9" t="s">
        <v>1246</v>
      </c>
      <c r="B3" s="9" t="s">
        <v>47</v>
      </c>
      <c r="C3" s="9" t="s">
        <v>1249</v>
      </c>
      <c r="D3" s="9" t="s">
        <v>1248</v>
      </c>
    </row>
    <row r="4" customFormat="false" ht="27.75" hidden="false" customHeight="true" outlineLevel="0" collapsed="false">
      <c r="A4" s="9" t="s">
        <v>1246</v>
      </c>
      <c r="B4" s="9" t="s">
        <v>54</v>
      </c>
      <c r="C4" s="9" t="s">
        <v>1250</v>
      </c>
      <c r="D4" s="9" t="s">
        <v>1248</v>
      </c>
    </row>
    <row r="5" customFormat="false" ht="27.75" hidden="false" customHeight="true" outlineLevel="0" collapsed="false">
      <c r="A5" s="9" t="s">
        <v>1251</v>
      </c>
      <c r="B5" s="9" t="s">
        <v>1252</v>
      </c>
      <c r="C5" s="9" t="s">
        <v>1253</v>
      </c>
      <c r="D5" s="9" t="s">
        <v>1248</v>
      </c>
    </row>
    <row r="6" customFormat="false" ht="15" hidden="false" customHeight="true" outlineLevel="0" collapsed="false">
      <c r="A6" s="9" t="s">
        <v>1251</v>
      </c>
      <c r="B6" s="9" t="s">
        <v>1254</v>
      </c>
      <c r="C6" s="9" t="s">
        <v>1255</v>
      </c>
      <c r="D6" s="9" t="s">
        <v>1248</v>
      </c>
    </row>
    <row r="7" customFormat="false" ht="15" hidden="false" customHeight="true" outlineLevel="0" collapsed="false">
      <c r="A7" s="9" t="s">
        <v>1256</v>
      </c>
      <c r="B7" s="9" t="s">
        <v>1257</v>
      </c>
      <c r="C7" s="9" t="s">
        <v>1258</v>
      </c>
      <c r="D7" s="9" t="s">
        <v>66</v>
      </c>
    </row>
    <row r="8" customFormat="false" ht="27.75" hidden="false" customHeight="true" outlineLevel="0" collapsed="false">
      <c r="A8" s="9" t="s">
        <v>1256</v>
      </c>
      <c r="B8" s="9" t="s">
        <v>1259</v>
      </c>
      <c r="C8" s="9" t="s">
        <v>1260</v>
      </c>
      <c r="D8" s="9" t="s">
        <v>360</v>
      </c>
    </row>
    <row r="9" customFormat="false" ht="27.75" hidden="false" customHeight="true" outlineLevel="0" collapsed="false">
      <c r="A9" s="9" t="s">
        <v>1256</v>
      </c>
      <c r="B9" s="9" t="s">
        <v>1261</v>
      </c>
      <c r="C9" s="9" t="s">
        <v>1262</v>
      </c>
      <c r="D9" s="9" t="s">
        <v>373</v>
      </c>
    </row>
    <row r="10" customFormat="false" ht="15" hidden="false" customHeight="true" outlineLevel="0" collapsed="false">
      <c r="A10" s="9" t="s">
        <v>1256</v>
      </c>
      <c r="B10" s="9" t="s">
        <v>1263</v>
      </c>
      <c r="C10" s="9" t="s">
        <v>1264</v>
      </c>
      <c r="D10" s="9" t="s">
        <v>117</v>
      </c>
    </row>
    <row r="11" customFormat="false" ht="15" hidden="false" customHeight="true" outlineLevel="0" collapsed="false">
      <c r="A11" s="9" t="s">
        <v>1256</v>
      </c>
      <c r="B11" s="9" t="s">
        <v>1265</v>
      </c>
      <c r="C11" s="9" t="s">
        <v>1266</v>
      </c>
      <c r="D11" s="9" t="s">
        <v>139</v>
      </c>
    </row>
    <row r="12" customFormat="false" ht="15" hidden="false" customHeight="true" outlineLevel="0" collapsed="false">
      <c r="A12" s="9" t="s">
        <v>1256</v>
      </c>
      <c r="B12" s="9" t="s">
        <v>1267</v>
      </c>
      <c r="C12" s="9" t="s">
        <v>1268</v>
      </c>
      <c r="D12" s="9" t="s">
        <v>503</v>
      </c>
    </row>
    <row r="13" customFormat="false" ht="15" hidden="false" customHeight="true" outlineLevel="0" collapsed="false">
      <c r="A13" s="9" t="s">
        <v>1256</v>
      </c>
      <c r="B13" s="9" t="s">
        <v>1269</v>
      </c>
      <c r="C13" s="9" t="s">
        <v>1270</v>
      </c>
      <c r="D13" s="9" t="s">
        <v>655</v>
      </c>
    </row>
    <row r="14" customFormat="false" ht="15" hidden="false" customHeight="true" outlineLevel="0" collapsed="false">
      <c r="A14" s="9" t="s">
        <v>1256</v>
      </c>
      <c r="B14" s="9" t="s">
        <v>1271</v>
      </c>
      <c r="C14" s="9" t="s">
        <v>1272</v>
      </c>
      <c r="D14" s="9" t="s">
        <v>723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328125" defaultRowHeight="15" zeroHeight="false" outlineLevelRow="0" outlineLevelCol="0"/>
  <cols>
    <col collapsed="false" customWidth="true" hidden="false" outlineLevel="0" max="4" min="1" style="1" width="28"/>
    <col collapsed="false" customWidth="true" hidden="false" outlineLevel="0" max="26" min="5" style="1" width="8.63"/>
  </cols>
  <sheetData>
    <row r="1" customFormat="false" ht="15" hidden="false" customHeight="true" outlineLevel="0" collapsed="false">
      <c r="A1" s="10" t="s">
        <v>1127</v>
      </c>
      <c r="B1" s="10" t="s">
        <v>1124</v>
      </c>
      <c r="C1" s="10" t="s">
        <v>1273</v>
      </c>
      <c r="D1" s="10" t="s">
        <v>1274</v>
      </c>
    </row>
    <row r="2" customFormat="false" ht="15" hidden="false" customHeight="true" outlineLevel="0" collapsed="false">
      <c r="A2" s="15" t="s">
        <v>30</v>
      </c>
      <c r="B2" s="15" t="s">
        <v>31</v>
      </c>
      <c r="C2" s="15" t="s">
        <v>71</v>
      </c>
      <c r="D2" s="15" t="s">
        <v>70</v>
      </c>
    </row>
    <row r="3" customFormat="false" ht="15" hidden="false" customHeight="true" outlineLevel="0" collapsed="false">
      <c r="A3" s="15" t="s">
        <v>122</v>
      </c>
      <c r="B3" s="15" t="s">
        <v>59</v>
      </c>
      <c r="C3" s="15" t="s">
        <v>92</v>
      </c>
      <c r="D3" s="15" t="s">
        <v>91</v>
      </c>
    </row>
    <row r="4" customFormat="false" ht="15" hidden="false" customHeight="true" outlineLevel="0" collapsed="false">
      <c r="A4" s="15" t="s">
        <v>177</v>
      </c>
      <c r="B4" s="15" t="s">
        <v>354</v>
      </c>
      <c r="C4" s="15" t="s">
        <v>220</v>
      </c>
      <c r="D4" s="15" t="s">
        <v>450</v>
      </c>
    </row>
    <row r="5" customFormat="false" ht="15" hidden="false" customHeight="true" outlineLevel="0" collapsed="false">
      <c r="B5" s="15" t="s">
        <v>497</v>
      </c>
      <c r="C5" s="15" t="s">
        <v>333</v>
      </c>
      <c r="D5" s="15" t="s">
        <v>536</v>
      </c>
    </row>
    <row r="6" customFormat="false" ht="15" hidden="false" customHeight="true" outlineLevel="0" collapsed="false">
      <c r="B6" s="15" t="s">
        <v>578</v>
      </c>
      <c r="C6" s="15" t="s">
        <v>1275</v>
      </c>
      <c r="D6" s="15" t="s">
        <v>41</v>
      </c>
    </row>
    <row r="7" customFormat="false" ht="15" hidden="false" customHeight="true" outlineLevel="0" collapsed="false">
      <c r="B7" s="15" t="s">
        <v>650</v>
      </c>
      <c r="C7" s="15" t="s">
        <v>1276</v>
      </c>
      <c r="D7" s="15" t="s">
        <v>721</v>
      </c>
    </row>
    <row r="8" customFormat="false" ht="15" hidden="false" customHeight="true" outlineLevel="0" collapsed="false">
      <c r="B8" s="15" t="s">
        <v>740</v>
      </c>
      <c r="C8" s="15" t="s">
        <v>42</v>
      </c>
      <c r="D8" s="15" t="s">
        <v>647</v>
      </c>
    </row>
    <row r="9" customFormat="false" ht="15" hidden="false" customHeight="true" outlineLevel="0" collapsed="false">
      <c r="B9" s="15" t="s">
        <v>323</v>
      </c>
    </row>
    <row r="10" customFormat="false" ht="15" hidden="false" customHeight="true" outlineLevel="0" collapsed="false">
      <c r="B10" s="15" t="s">
        <v>281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2026-07-07T03:52:07Z</dcterms:created>
  <dc:creator>openpyxl</dc:creator>
  <dc:description/>
  <dc:language>en-US</dc:language>
  <cp:lastModifiedBy/>
  <dcterms:modified xsi:type="dcterms:W3CDTF">2026-07-08T04:03:38Z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